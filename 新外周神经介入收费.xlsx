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definedNames>
    <definedName name="_xlnm.Print_Area" localSheetId="0">Sheet1!$A$1:$G$20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<sst xmlns="http://schemas.openxmlformats.org/spreadsheetml/2006/main" count="75" uniqueCount="61">
  <si>
    <t>新外周神经介入收费</t>
  </si>
  <si>
    <t>序号</t>
  </si>
  <si>
    <t>项目编码</t>
  </si>
  <si>
    <t>项目名称（新旧项目映射关系）</t>
  </si>
  <si>
    <t>项目内涵</t>
  </si>
  <si>
    <t>计价单位</t>
  </si>
  <si>
    <t>计价说明</t>
  </si>
  <si>
    <t>省定最高限价（元）</t>
  </si>
  <si>
    <t>012401000140000</t>
  </si>
  <si>
    <r>
      <t>脑血管造影费</t>
    </r>
    <r>
      <rPr>
        <sz val="10"/>
        <color rgb="FFC00000"/>
        <rFont val="宋体"/>
        <charset val="134"/>
      </rPr>
      <t>（原经股/经动脉插管全脑动脉造影术）</t>
    </r>
  </si>
  <si>
    <t>通过介入方式对脑血管进行造影检查。价格涵盖手术计划、术区准备、消毒铺巾、建立通路、脑血管造影、撤除、闭合血管通路等步骤所需的人力资源和基本物质资源消耗。</t>
  </si>
  <si>
    <t>次</t>
  </si>
  <si>
    <t>次指3根及以下血管，超过3根血管，每增加1根血管按33%加收。一次收费不得超过7280元。</t>
  </si>
  <si>
    <t>012401000150000</t>
  </si>
  <si>
    <r>
      <t>脊髓血管造影费</t>
    </r>
    <r>
      <rPr>
        <sz val="10"/>
        <color rgb="FFC00000"/>
        <rFont val="宋体"/>
        <charset val="134"/>
      </rPr>
      <t>（原脊髓动脉造影术）</t>
    </r>
  </si>
  <si>
    <t>通过介入方式对脊髓血管进行造影检查。价格涵盖手术计划、术区准备、消毒铺巾、建立通路、脊髓血管造影、撤除、闭合血管通路等步骤所需的人力资源和基本物质资源消耗。</t>
  </si>
  <si>
    <t>次指4根及以下血管，超过4根血管，每增加1根血管按25%加收。一次收费不得超过11970元。</t>
  </si>
  <si>
    <t>013302000030000</t>
  </si>
  <si>
    <r>
      <t>脑血管球囊扩张费（介入）</t>
    </r>
    <r>
      <rPr>
        <sz val="10"/>
        <color rgb="FFC00000"/>
        <rFont val="宋体"/>
        <charset val="134"/>
      </rPr>
      <t>（原经皮穿刺脑血管腔内球囊成形术）</t>
    </r>
  </si>
  <si>
    <t>通过球囊扩张脑血管。价格涵盖手术计划、术区准备、消毒铺巾、建立通路、球囊扩张、撤除、闭合通路，必要时造影确认治疗效果等步骤所需的人力资源和基本物质资源消耗。不含脑血管造影费用。</t>
  </si>
  <si>
    <t>血管</t>
  </si>
  <si>
    <t>1.同一血管扩张颅内和颅外多处狭窄的按2根血管计价，颅内部分适用颅内血管加收。2.脑静脉窦扩张适用颅内血管加收。3.脑血管治疗后立即行造影确认治疗效果的，不得重复收取脑血管造影费用。</t>
  </si>
  <si>
    <t>013302000030011</t>
  </si>
  <si>
    <t>脑血管球囊扩张费（介入）-颅内血管（加收）</t>
  </si>
  <si>
    <t>013302000040000</t>
  </si>
  <si>
    <r>
      <t>脑血管支架置入费（介入）</t>
    </r>
    <r>
      <rPr>
        <sz val="10"/>
        <color rgb="FFC00000"/>
        <rFont val="宋体"/>
        <charset val="134"/>
      </rPr>
      <t>（原穿刺脑血管腔内支架置入术）</t>
    </r>
  </si>
  <si>
    <t>通过支架扩张脑血管。价格涵盖手术计划、术区准备、消毒铺巾、建立通路、支架置入、撤除、闭合通路，必要时球囊扩张及造影确认治疗效果等步骤所需的人力资源和基本物质资源消耗。不含脑血管造影费用。</t>
  </si>
  <si>
    <t>1.同一血管扩张颅内和颅外多处狭窄的按2根血管计价，颅内部分适用颅内血管加收。2.同一病变部位不与球囊扩张同时收取。3.脑静脉窦支架置入适用颅内血管加收。4.脑血管治疗后立即行造影确认治疗效果的，不得重复收取脑血管造影费用。</t>
  </si>
  <si>
    <t>013302000040011</t>
  </si>
  <si>
    <t>脑血管支架置入费（介入）-颅内血管（加收）</t>
  </si>
  <si>
    <t>013302000050000</t>
  </si>
  <si>
    <t>慢性闭塞脑血管逆向再通费（介入）</t>
  </si>
  <si>
    <t>通过血管闭塞端近段及远端两端操作开通血管。价格涵盖手术计划、导管送至闭塞段远端、连通闭塞段两端的血管腔、闭合通路，必要时造影确认治疗效果等步骤所需的人力资源和基本物质资源消耗。不含脑血管造影费用。</t>
  </si>
  <si>
    <t>013302000050011</t>
  </si>
  <si>
    <t>慢性闭塞脑血管逆向再通费（介入）-颅内血管（加收）</t>
  </si>
  <si>
    <t>013302000060000</t>
  </si>
  <si>
    <r>
      <t>脑血管腔内减容费（介入）</t>
    </r>
    <r>
      <rPr>
        <sz val="10"/>
        <color rgb="FFC00000"/>
        <rFont val="宋体"/>
        <charset val="134"/>
      </rPr>
      <t>（原超选择脑动脉腔内血栓取出术）</t>
    </r>
  </si>
  <si>
    <t>通过激光、旋切、旋磨、振波、血栓抽吸等各种物理或机械方式消除脑血管腔内斑块或血栓。价格涵盖手术计划、术区准备、消毒铺巾、建立通路、通过各种方式消除斑块、撤除、闭合通路，必要时造影确认治疗效果等步骤所需的人力资源和基本物质资源消耗。不含脑血管造影费用。</t>
  </si>
  <si>
    <t>013302000070000</t>
  </si>
  <si>
    <r>
      <t>脑血管腔内溶栓费（介入）</t>
    </r>
    <r>
      <rPr>
        <sz val="10"/>
        <color rgb="FFC00000"/>
        <rFont val="宋体"/>
        <charset val="134"/>
      </rPr>
      <t>（原经皮穿刺脑血管腔内溶栓术）</t>
    </r>
  </si>
  <si>
    <t>通过介入方式对脑部栓塞的血管进行药物溶栓、疏通治疗。价格涵盖手术计划、术区准备、消毒铺巾、建立通路、放置导丝导管、推注溶栓药物、撤出、闭合通路，必要时造影确认治疗效果等步骤所需的人力资源和基本物质资源消耗。不含脑血管造影费用。</t>
  </si>
  <si>
    <t>013302000080000</t>
  </si>
  <si>
    <r>
      <t>脑血管栓塞费（介入）</t>
    </r>
    <r>
      <rPr>
        <sz val="10"/>
        <color rgb="FFC00000"/>
        <rFont val="宋体"/>
        <charset val="134"/>
      </rPr>
      <t>（原单纯脑动静脉瘘栓塞术/脑及颅内血管畸形栓塞术）</t>
    </r>
  </si>
  <si>
    <t>通过介入方式将栓塞物质导入脑血管。价格涵盖完成手术计划、术区准备、消毒铺巾、建立通路、穿刺置管、填塞、撤出、闭合通路，必要时造影确认治疗效果等步骤所需的人力资源和基本物质资源消耗。不含脑血管造影费用。</t>
  </si>
  <si>
    <t>013302000080011</t>
  </si>
  <si>
    <t>脑血管栓塞费（介入）-脑血管畸形栓塞（加收）</t>
  </si>
  <si>
    <t>013302000090000</t>
  </si>
  <si>
    <r>
      <t>颅内动脉瘤栓塞费（介入）</t>
    </r>
    <r>
      <rPr>
        <sz val="10"/>
        <color rgb="FFC00000"/>
        <rFont val="宋体"/>
        <charset val="134"/>
      </rPr>
      <t>（原颅内动脉瘤栓塞术）</t>
    </r>
  </si>
  <si>
    <t>通过介入方式将栓塞物质导入颅内动脉瘤。价格涵盖完成手术计划、术区准备、消毒铺巾、建立通路、穿刺置管、填塞、撤出、闭合通路，必要时造影确认治疗效果等步骤所需的人力资源和基本物质资源消耗。不含脑血管造影费用。</t>
  </si>
  <si>
    <t>013302000160000</t>
  </si>
  <si>
    <r>
      <t>周围神经电极置入费</t>
    </r>
    <r>
      <rPr>
        <sz val="10"/>
        <color rgb="FFC00000"/>
        <rFont val="宋体"/>
        <charset val="134"/>
      </rPr>
      <t>（原经皮穿刺骶神经刺激装置永久/临时置入术）</t>
    </r>
  </si>
  <si>
    <t>将电极和（或）电刺激器等各类信号传导装置临时或永久置入患者周围神经。价格涵盖手术计划、术区准备、消毒铺巾、定位、穿刺或切开、电极置入、参数调整、效果测试、固定、缝合等步骤所需的人力资源和基本物质资源消耗。</t>
  </si>
  <si>
    <t>同台手术不得同时收取“周围神经电极取出费”。</t>
  </si>
  <si>
    <t>013302000161100</t>
  </si>
  <si>
    <t>周围神经电极置入费-骶神经刺激装置永久置入（扩展）</t>
  </si>
  <si>
    <t>013302000560000</t>
  </si>
  <si>
    <r>
      <t>颅神经松解费</t>
    </r>
    <r>
      <rPr>
        <sz val="10"/>
        <color rgb="FFC00000"/>
        <rFont val="宋体"/>
        <charset val="134"/>
      </rPr>
      <t>（原经皮穿刺三叉神经微球囊压迫扩张术）</t>
    </r>
  </si>
  <si>
    <r>
      <t>通过手术松解颅神经粘连。价格涵盖手术计划、术区准备、消毒铺巾、定位、开颅、松解及梳理、关颅等步骤所需的人力资源和基本物质资源消耗。</t>
    </r>
    <r>
      <rPr>
        <sz val="10"/>
        <color rgb="FF000000"/>
        <rFont val="宋体"/>
        <charset val="134"/>
      </rPr>
      <t xml:space="preserve">
</t>
    </r>
  </si>
  <si>
    <t>1.本项目所称“颅神经”指：位于颅内和颅底、眼眶、颈深部的十二对颅神经部分。2.同一神经松解费不得与切断费同时收取。
3.经皮穿刺三叉神经微球囊压迫扩张术按此项目收取。</t>
  </si>
  <si>
    <t>备注</t>
  </si>
  <si>
    <t>脑血管造影（二次）+颅内动脉瘤栓塞术（包括单纯弹簧圈、弹簧圈+支架或密网支架、或单纯密网支架）
收费均为：脑血管造影（2730）＋颅内动脉瘤栓塞费（4890）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</si>
</sst>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s>
  <fonts count="32">
    <font>
      <sz val="11"/>
      <color theme="1"/>
      <name val="宋体"/>
      <charset val="134"/>
      <scheme val="minor"/>
    </font>
    <font>
      <sz val="10"/>
      <name val="宋体"/>
      <charset val="134"/>
    </font>
    <font>
      <b/>
      <sz val="12"/>
      <name val="方正小标宋简体"/>
      <charset val="134"/>
    </font>
    <font>
      <sz val="12"/>
      <name val="方正小标宋简体"/>
      <charset val="134"/>
    </font>
    <font>
      <b/>
      <sz val="10"/>
      <name val="宋体"/>
      <charset val="134"/>
    </font>
    <font>
      <sz val="8"/>
      <name val="黑体"/>
      <charset val="134"/>
    </font>
    <font>
      <sz val="10"/>
      <color theme="1"/>
      <name val="宋体"/>
      <charset val="134"/>
    </font>
    <font>
      <sz val="8"/>
      <name val="宋体"/>
      <charset val="134"/>
    </font>
    <font>
      <sz val="10"/>
      <color rgb="FF000000"/>
      <name val="宋体"/>
      <charset val="134"/>
    </font>
    <font>
      <sz val="8"/>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rgb="FF000000"/>
      <name val="等线"/>
      <charset val="134"/>
    </font>
    <font>
      <sz val="10"/>
      <color rgb="FFC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diagonal/>
    </border>
    <border>
      <left/>
      <right style="thin">
        <color auto="1"/>
      </right>
      <top style="thin">
        <color rgb="FF000000"/>
      </top>
      <bottom/>
      <diagonal/>
    </border>
    <border>
      <left/>
      <right/>
      <top style="thin">
        <color rgb="FF000000"/>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3" borderId="14" applyNumberFormat="0" applyAlignment="0" applyProtection="0">
      <alignment vertical="center"/>
    </xf>
    <xf numFmtId="0" fontId="19" fillId="4" borderId="15" applyNumberFormat="0" applyAlignment="0" applyProtection="0">
      <alignment vertical="center"/>
    </xf>
    <xf numFmtId="0" fontId="20" fillId="4" borderId="14" applyNumberFormat="0" applyAlignment="0" applyProtection="0">
      <alignment vertical="center"/>
    </xf>
    <xf numFmtId="0" fontId="21" fillId="5"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9" fillId="0" borderId="0" applyBorder="0">
      <alignment vertical="center"/>
    </xf>
    <xf numFmtId="0" fontId="0" fillId="0" borderId="0" applyBorder="0">
      <alignment vertical="center"/>
    </xf>
    <xf numFmtId="176" fontId="30" fillId="0" borderId="0" applyBorder="0">
      <protection locked="0"/>
    </xf>
  </cellStyleXfs>
  <cellXfs count="3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1" xfId="0" applyFont="1" applyFill="1" applyBorder="1" applyAlignment="1">
      <alignment horizontal="center" vertical="center" wrapText="1"/>
    </xf>
    <xf numFmtId="49" fontId="5" fillId="0" borderId="1" xfId="49" applyNumberFormat="1" applyFont="1" applyFill="1" applyBorder="1" applyAlignment="1">
      <alignment horizontal="center" vertical="center" wrapText="1"/>
    </xf>
    <xf numFmtId="0" fontId="1" fillId="0" borderId="1" xfId="0" applyFont="1" applyFill="1" applyBorder="1" applyAlignment="1" applyProtection="1">
      <alignment horizontal="center" vertical="center" wrapText="1"/>
    </xf>
    <xf numFmtId="0" fontId="6" fillId="0" borderId="1" xfId="0" applyFont="1" applyFill="1" applyBorder="1" applyAlignment="1">
      <alignment vertical="center" wrapText="1"/>
    </xf>
    <xf numFmtId="0" fontId="1" fillId="0"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xf>
    <xf numFmtId="0" fontId="1" fillId="0" borderId="2" xfId="0" applyFont="1" applyFill="1" applyBorder="1" applyAlignment="1" applyProtection="1">
      <alignment horizontal="center" vertical="center" wrapText="1"/>
    </xf>
    <xf numFmtId="0" fontId="7" fillId="0" borderId="2" xfId="0" applyFont="1" applyFill="1" applyBorder="1" applyAlignment="1" applyProtection="1">
      <alignment horizontal="left" vertical="top" wrapText="1"/>
    </xf>
    <xf numFmtId="0" fontId="1" fillId="0" borderId="3" xfId="0" applyFont="1" applyFill="1" applyBorder="1" applyAlignment="1" applyProtection="1">
      <alignment horizontal="center" vertical="center" wrapText="1"/>
    </xf>
    <xf numFmtId="0" fontId="1" fillId="0" borderId="3" xfId="0" applyFont="1" applyFill="1" applyBorder="1" applyAlignment="1" applyProtection="1">
      <alignment horizontal="left" vertical="top" wrapText="1"/>
    </xf>
    <xf numFmtId="0" fontId="7" fillId="0" borderId="2"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0" fontId="1" fillId="0" borderId="1" xfId="0" applyFont="1" applyFill="1" applyBorder="1" applyAlignment="1" applyProtection="1">
      <alignment vertical="center" wrapText="1"/>
    </xf>
    <xf numFmtId="0" fontId="7" fillId="0" borderId="1" xfId="0" applyFont="1" applyFill="1" applyBorder="1" applyAlignment="1" applyProtection="1">
      <alignment horizontal="justify" vertical="center" wrapText="1"/>
    </xf>
    <xf numFmtId="0" fontId="1" fillId="0" borderId="1" xfId="0" applyFont="1" applyFill="1" applyBorder="1" applyAlignment="1" applyProtection="1">
      <alignment horizontal="justify" vertical="center" wrapText="1"/>
    </xf>
    <xf numFmtId="0" fontId="8" fillId="0" borderId="4" xfId="0" applyNumberFormat="1" applyFont="1" applyBorder="1" applyAlignment="1">
      <alignment horizontal="center" vertical="center" wrapText="1"/>
    </xf>
    <xf numFmtId="0" fontId="8" fillId="0" borderId="4" xfId="0" applyNumberFormat="1" applyFont="1" applyBorder="1" applyAlignment="1">
      <alignment vertical="center" wrapText="1"/>
    </xf>
    <xf numFmtId="0" fontId="9" fillId="0" borderId="4" xfId="0" applyNumberFormat="1" applyFont="1" applyBorder="1" applyAlignment="1">
      <alignment horizontal="justify" vertical="center" wrapText="1"/>
    </xf>
    <xf numFmtId="0" fontId="9" fillId="0" borderId="4" xfId="0" applyNumberFormat="1" applyFont="1"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vertical="center" wrapText="1"/>
    </xf>
    <xf numFmtId="0" fontId="0" fillId="0" borderId="7" xfId="0" applyBorder="1">
      <alignment vertical="center"/>
    </xf>
    <xf numFmtId="0" fontId="0" fillId="0" borderId="6"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8" xfId="0" applyBorder="1">
      <alignment vertical="center"/>
    </xf>
    <xf numFmtId="0" fontId="0" fillId="0" borderId="10" xfId="0" applyBorder="1">
      <alignment vertical="center"/>
    </xf>
    <xf numFmtId="0" fontId="0" fillId="0" borderId="9" xfId="0" applyBorder="1">
      <alignmen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8" xfId="49"/>
    <cellStyle name="常规 3 2" xfId="50"/>
    <cellStyle name="常规 2 3"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abSelected="1" workbookViewId="0">
      <selection activeCell="A1" sqref="A1:G1"/>
    </sheetView>
  </sheetViews>
  <sheetFormatPr defaultColWidth="9.64166666666667" defaultRowHeight="13.5" outlineLevelCol="6"/>
  <cols>
    <col min="1" max="1" width="2.75" customWidth="1"/>
    <col min="2" max="2" width="15" customWidth="1"/>
    <col min="3" max="3" width="25.5" customWidth="1"/>
    <col min="4" max="4" width="53.25" customWidth="1"/>
    <col min="5" max="5" width="4.875" customWidth="1"/>
    <col min="6" max="6" width="35.125" customWidth="1"/>
    <col min="7" max="7" width="6.625" customWidth="1"/>
    <col min="8" max="8" width="13.375" customWidth="1"/>
  </cols>
  <sheetData>
    <row r="1" ht="16.8" customHeight="1" spans="1:7">
      <c r="A1" s="2" t="s">
        <v>0</v>
      </c>
      <c r="B1" s="3"/>
      <c r="C1" s="3"/>
      <c r="D1" s="3"/>
      <c r="E1" s="3"/>
      <c r="F1" s="3"/>
      <c r="G1" s="3"/>
    </row>
    <row r="2" ht="20" customHeight="1" spans="1:7">
      <c r="A2" s="4" t="s">
        <v>1</v>
      </c>
      <c r="B2" s="4" t="s">
        <v>2</v>
      </c>
      <c r="C2" s="4" t="s">
        <v>3</v>
      </c>
      <c r="D2" s="4" t="s">
        <v>4</v>
      </c>
      <c r="E2" s="4" t="s">
        <v>5</v>
      </c>
      <c r="F2" s="4" t="s">
        <v>6</v>
      </c>
      <c r="G2" s="5" t="s">
        <v>7</v>
      </c>
    </row>
    <row r="3" ht="27" customHeight="1" spans="1:7">
      <c r="A3" s="6">
        <v>14</v>
      </c>
      <c r="B3" s="7" t="s">
        <v>8</v>
      </c>
      <c r="C3" s="8" t="s">
        <v>9</v>
      </c>
      <c r="D3" s="9" t="s">
        <v>10</v>
      </c>
      <c r="E3" s="6" t="s">
        <v>11</v>
      </c>
      <c r="F3" s="9" t="s">
        <v>12</v>
      </c>
      <c r="G3" s="6">
        <v>2730</v>
      </c>
    </row>
    <row r="4" ht="27" customHeight="1" spans="1:7">
      <c r="A4" s="6">
        <v>15</v>
      </c>
      <c r="B4" s="7" t="s">
        <v>13</v>
      </c>
      <c r="C4" s="8" t="s">
        <v>14</v>
      </c>
      <c r="D4" s="9" t="s">
        <v>15</v>
      </c>
      <c r="E4" s="6" t="s">
        <v>11</v>
      </c>
      <c r="F4" s="9" t="s">
        <v>16</v>
      </c>
      <c r="G4" s="6">
        <v>3990</v>
      </c>
    </row>
    <row r="5" ht="33" customHeight="1" spans="1:7">
      <c r="A5" s="10">
        <v>17</v>
      </c>
      <c r="B5" s="7" t="s">
        <v>17</v>
      </c>
      <c r="C5" s="8" t="s">
        <v>18</v>
      </c>
      <c r="D5" s="9" t="s">
        <v>19</v>
      </c>
      <c r="E5" s="6" t="s">
        <v>20</v>
      </c>
      <c r="F5" s="11" t="s">
        <v>21</v>
      </c>
      <c r="G5" s="6">
        <v>4890</v>
      </c>
    </row>
    <row r="6" ht="22" customHeight="1" spans="1:7">
      <c r="A6" s="12"/>
      <c r="B6" s="7" t="s">
        <v>22</v>
      </c>
      <c r="C6" s="8" t="s">
        <v>23</v>
      </c>
      <c r="D6" s="8"/>
      <c r="E6" s="6" t="s">
        <v>20</v>
      </c>
      <c r="F6" s="13"/>
      <c r="G6" s="6">
        <f>G5*0.3</f>
        <v>1467</v>
      </c>
    </row>
    <row r="7" ht="33" customHeight="1" spans="1:7">
      <c r="A7" s="10">
        <v>18</v>
      </c>
      <c r="B7" s="7" t="s">
        <v>24</v>
      </c>
      <c r="C7" s="8" t="s">
        <v>25</v>
      </c>
      <c r="D7" s="9" t="s">
        <v>26</v>
      </c>
      <c r="E7" s="6" t="s">
        <v>20</v>
      </c>
      <c r="F7" s="14" t="s">
        <v>27</v>
      </c>
      <c r="G7" s="6">
        <v>4890</v>
      </c>
    </row>
    <row r="8" ht="24" customHeight="1" spans="1:7">
      <c r="A8" s="12"/>
      <c r="B8" s="7" t="s">
        <v>28</v>
      </c>
      <c r="C8" s="8" t="s">
        <v>29</v>
      </c>
      <c r="D8" s="8"/>
      <c r="E8" s="6" t="s">
        <v>20</v>
      </c>
      <c r="F8" s="15"/>
      <c r="G8" s="6">
        <f>G7*0.3</f>
        <v>1467</v>
      </c>
    </row>
    <row r="9" ht="30" customHeight="1" spans="1:7">
      <c r="A9" s="10">
        <v>19</v>
      </c>
      <c r="B9" s="7" t="s">
        <v>30</v>
      </c>
      <c r="C9" s="8" t="s">
        <v>31</v>
      </c>
      <c r="D9" s="9" t="s">
        <v>32</v>
      </c>
      <c r="E9" s="6" t="s">
        <v>20</v>
      </c>
      <c r="F9" s="8"/>
      <c r="G9" s="6">
        <v>5000</v>
      </c>
    </row>
    <row r="10" ht="27" customHeight="1" spans="1:7">
      <c r="A10" s="12"/>
      <c r="B10" s="7" t="s">
        <v>33</v>
      </c>
      <c r="C10" s="8" t="s">
        <v>34</v>
      </c>
      <c r="D10" s="8"/>
      <c r="E10" s="6" t="s">
        <v>20</v>
      </c>
      <c r="F10" s="8"/>
      <c r="G10" s="6">
        <f>G9*0.3</f>
        <v>1500</v>
      </c>
    </row>
    <row r="11" ht="42" spans="1:7">
      <c r="A11" s="10">
        <v>20</v>
      </c>
      <c r="B11" s="7" t="s">
        <v>35</v>
      </c>
      <c r="C11" s="8" t="s">
        <v>36</v>
      </c>
      <c r="D11" s="9" t="s">
        <v>37</v>
      </c>
      <c r="E11" s="6" t="s">
        <v>20</v>
      </c>
      <c r="F11" s="8"/>
      <c r="G11" s="6">
        <v>5500</v>
      </c>
    </row>
    <row r="12" ht="42" customHeight="1" spans="1:7">
      <c r="A12" s="10">
        <v>21</v>
      </c>
      <c r="B12" s="7" t="s">
        <v>38</v>
      </c>
      <c r="C12" s="8" t="s">
        <v>39</v>
      </c>
      <c r="D12" s="9" t="s">
        <v>40</v>
      </c>
      <c r="E12" s="6" t="s">
        <v>11</v>
      </c>
      <c r="F12" s="8"/>
      <c r="G12" s="6">
        <v>4510</v>
      </c>
    </row>
    <row r="13" ht="36" spans="1:7">
      <c r="A13" s="10">
        <v>22</v>
      </c>
      <c r="B13" s="7" t="s">
        <v>41</v>
      </c>
      <c r="C13" s="8" t="s">
        <v>42</v>
      </c>
      <c r="D13" s="9" t="s">
        <v>43</v>
      </c>
      <c r="E13" s="6" t="s">
        <v>20</v>
      </c>
      <c r="F13" s="8"/>
      <c r="G13" s="6">
        <v>4600</v>
      </c>
    </row>
    <row r="14" ht="24" customHeight="1" spans="1:7">
      <c r="A14" s="12"/>
      <c r="B14" s="7" t="s">
        <v>44</v>
      </c>
      <c r="C14" s="8" t="s">
        <v>45</v>
      </c>
      <c r="D14" s="8"/>
      <c r="E14" s="6" t="s">
        <v>20</v>
      </c>
      <c r="F14" s="8"/>
      <c r="G14" s="6">
        <v>460</v>
      </c>
    </row>
    <row r="15" ht="31.5" spans="1:7">
      <c r="A15" s="10">
        <v>23</v>
      </c>
      <c r="B15" s="7" t="s">
        <v>46</v>
      </c>
      <c r="C15" s="8" t="s">
        <v>47</v>
      </c>
      <c r="D15" s="9" t="s">
        <v>48</v>
      </c>
      <c r="E15" s="6" t="s">
        <v>20</v>
      </c>
      <c r="F15" s="8"/>
      <c r="G15" s="6">
        <v>4890</v>
      </c>
    </row>
    <row r="16" s="1" customFormat="1" ht="30" customHeight="1" spans="1:7">
      <c r="A16" s="10">
        <v>33</v>
      </c>
      <c r="B16" s="7" t="s">
        <v>49</v>
      </c>
      <c r="C16" s="16" t="s">
        <v>50</v>
      </c>
      <c r="D16" s="17" t="s">
        <v>51</v>
      </c>
      <c r="E16" s="6" t="s">
        <v>11</v>
      </c>
      <c r="F16" s="14" t="s">
        <v>52</v>
      </c>
      <c r="G16" s="6">
        <v>2450</v>
      </c>
    </row>
    <row r="17" s="1" customFormat="1" ht="24" customHeight="1" spans="1:7">
      <c r="A17" s="12"/>
      <c r="B17" s="7" t="s">
        <v>53</v>
      </c>
      <c r="C17" s="8" t="s">
        <v>54</v>
      </c>
      <c r="D17" s="18"/>
      <c r="E17" s="6" t="s">
        <v>11</v>
      </c>
      <c r="F17" s="15"/>
      <c r="G17" s="6">
        <f>G16</f>
        <v>2450</v>
      </c>
    </row>
    <row r="18" ht="42" customHeight="1" spans="1:7">
      <c r="A18" s="19">
        <v>77</v>
      </c>
      <c r="B18" s="20" t="s">
        <v>55</v>
      </c>
      <c r="C18" s="20" t="s">
        <v>56</v>
      </c>
      <c r="D18" s="21" t="s">
        <v>57</v>
      </c>
      <c r="E18" s="19" t="s">
        <v>11</v>
      </c>
      <c r="F18" s="22" t="s">
        <v>58</v>
      </c>
      <c r="G18" s="19">
        <v>5670</v>
      </c>
    </row>
    <row r="19" spans="1:7">
      <c r="A19" s="23" t="s">
        <v>59</v>
      </c>
      <c r="B19" s="24"/>
      <c r="C19" s="25" t="s">
        <v>60</v>
      </c>
      <c r="D19" s="26"/>
      <c r="E19" s="26"/>
      <c r="F19" s="26"/>
      <c r="G19" s="27"/>
    </row>
    <row r="20" spans="1:7">
      <c r="A20" s="28"/>
      <c r="B20" s="29"/>
      <c r="C20" s="30"/>
      <c r="D20" s="31"/>
      <c r="E20" s="31"/>
      <c r="F20" s="31"/>
      <c r="G20" s="32"/>
    </row>
  </sheetData>
  <mergeCells count="11">
    <mergeCell ref="A1:G1"/>
    <mergeCell ref="A5:A6"/>
    <mergeCell ref="A7:A8"/>
    <mergeCell ref="A9:A10"/>
    <mergeCell ref="A13:A14"/>
    <mergeCell ref="A16:A17"/>
    <mergeCell ref="F5:F6"/>
    <mergeCell ref="F7:F8"/>
    <mergeCell ref="F16:F17"/>
    <mergeCell ref="A19:B20"/>
    <mergeCell ref="C19:G20"/>
  </mergeCells>
  <pageMargins left="0.196527777777778" right="0.0548611111111111" top="0" bottom="0" header="0" footer="0"/>
  <pageSetup paperSize="9"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汪正艳</dc:creator>
  <cp:lastModifiedBy>旺旺</cp:lastModifiedBy>
  <dcterms:created xsi:type="dcterms:W3CDTF">2026-05-11T07:52:00Z</dcterms:created>
  <dcterms:modified xsi:type="dcterms:W3CDTF">2026-05-22T05:53:01Z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14C628A423E447EAAF5244B58C39C331_13</vt:lpwstr>
  </property>
  <property fmtid="{D5CDD505-2E9C-101B-9397-08002B2CF9AE}" pid="3" name="KSOProductBuildVer">
    <vt:lpwstr>2052-12.1.0.26375</vt:lpwstr>
  </property>
  <property fmtid="{D5CDD505-2E9C-101B-9397-08002B2CF9AE}" pid="4" name="CalculationRule">
    <vt:i4>1</vt:i4>
  </property>
  <property fmtid="{D5CDD505-2E9C-101B-9397-08002B2CF9AE}" pid="5" name="KSOReadingLayout">
    <vt:bool>false</vt:bool>
  </property>
</Properties>
</file>