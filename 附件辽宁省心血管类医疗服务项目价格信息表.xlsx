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tabRatio="874"/>
  </bookViews>
  <sheets>
    <sheet name="附件1辽宁省心血管等6类医疗服务项目价格信息表" sheetId="1" r:id="rId1"/>
    <sheet name="附件2辽宁省拟废止医疗服务价格项目信息表" sheetId="2" r:id="rId2"/>
    <sheet name="新旧项目映射关系" sheetId="3" r:id="rId3"/>
  </sheets>
  <definedNames>
    <definedName name="_xlnm._FilterDatabase" localSheetId="0" hidden="1">附件1辽宁省心血管等6类医疗服务项目价格信息表!$A$3:$G$298</definedName>
    <definedName name="_xlnm._FilterDatabase" localSheetId="1" hidden="1">附件2辽宁省拟废止医疗服务价格项目信息表!$A$3:$D$2032</definedName>
    <definedName name="__xlfn.IFERROR" hidden="1">#NAME?</definedName>
    <definedName name="_xlnm.Print_Titles" localSheetId="0">附件1辽宁省心血管等6类医疗服务项目价格信息表!$3:$3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<sst xmlns="http://schemas.openxmlformats.org/spreadsheetml/2006/main" count="7775" uniqueCount="4878">
  <si>
    <t>附件1</t>
  </si>
  <si>
    <t>辽宁省心血管等6类医疗服务项目价格信息表</t>
  </si>
  <si>
    <t>序号</t>
  </si>
  <si>
    <t>项目编码</t>
  </si>
  <si>
    <t>项目名称</t>
  </si>
  <si>
    <t>项目内涵</t>
  </si>
  <si>
    <t>计价单位</t>
  </si>
  <si>
    <t>计价说明</t>
  </si>
  <si>
    <t>省定最高限价（元）</t>
  </si>
  <si>
    <t>二</t>
  </si>
  <si>
    <t>心血管系统</t>
  </si>
  <si>
    <t>使用说明：
1.所定价格属于政府指导价为最高限价，下浮不限；同时，医疗机构有关创新改良，可以采取“现有项目兼容”的方式简化处理，无需申报新增医疗服务价格项目，向所属医保部门报备可直接按照对应的项目执行。
2.“价格构成”，指项目价格应涵盖的各类资源消耗，用于确定计价单元的边界，是省市级医疗保障部门制定调整项目价格考虑的测算因子，不应作为临床技术标准理解，不是实际操作方式、路径、步骤、程序的强制性要求，价格构成中包含但临床实践中非必要、未发生的，无需强制要求公立医疗机构减计费用。所列“设备投入”包括但不限于操作设备、器具及固定资产投入。
3“加收”，指同一项目以不同方式提供或在不同场景应用时，确有必要制定差异化收费标准而细分的一类子项，包括在原项目价格基础上增加或减少收费的情况，具体的加/减收标准（加/减收率或加/减收金额）由省市级医疗保障部门依权限制定；实际应用中，同时涉及多个加收项的，以项目单价为基础计算相应的加/减收水平后，据实收费。
4.“扩展”，指同一项目下以不同方式提供或在不同场景应用时，只扩展价格项目适用范围、不额外加价的一类子项，子项的价格按主项目执行。
5.“基本物质资源消耗”指原则上限于不应或不必要与医疗服务项目分割的易耗品，包括但不限于各类消杀灭菌用品、储存用品、清洁用品、个人防护用品、垃圾处理用品、滑石粉、标签、中单、护（尿）垫、棉球、棉签、纱布（垫）、治疗护理盘（包）、治疗巾（单）、手术巾（单）、手术包、注射器、普通电极片、可复用的操作器具等。基本物质资源消耗成本计入项目价格，不另行收费。除基本物质资源消耗以外的其他耗材，按照实际采购价格零差率销售。
6.“再次手术”，是指既往曾行心脏外科开胸或腔镜手术，因病情需要再次行心脏手术的情况。
7.“微创手术”，是指通过非传统正中切口进行开胸或腔镜手术的方式，包括但不限于部分胸骨切口、侧切口、腔镜入路等情况。
8.手术项目若需病理取样，地方定价时应考虑在原项目的价格构成中包含标本的留取和送检。
9.手术类项目服务对象为儿童时，统一落实儿童加收政策（以下简称“儿童加收”），加收比例或金额由各省医保局根据实际情况确定。手术类项目的具体范围以《全国医疗服务项目技术规范》的分类为准，对于立项指南同时映射技术规范中的手术类项目和治疗类项目的主项目，按手术类落实儿童加收政策；其他非手术类项目实行儿童加收范围，以立项指南加收项为准。
10.所称的“儿童”，指6周岁及以下，周岁的计算方法以法律的相关规定为准。
11.其他学科开展相应项目时，可据实收费。
12.未提及的部分肺动/静脉、体循环动脉等循环系统相关项目，后续在其他立项指南中列举。
13.价格构成中所称的“穿刺”为主项操作涉及的必要穿刺技术，价格构成中的穿刺操作不可收取相关费用；独立穿刺项目可按相应治疗价格项目收取。
14.涉及“包括……”“…… 等”的，属于开放型表述，所指对象不仅局限于表述中列明的事项，也包括未列明的同类事项。</t>
  </si>
  <si>
    <t>012408000020000</t>
  </si>
  <si>
    <t>心电监测费</t>
  </si>
  <si>
    <t>实时监测患者心率、心律、心电波形等，必要时监测呼吸频率、呼吸波形、血压、血氧饱和度等参数。价格涵盖皮肤清洁、安放电极、连接设备、设定参数、实时监测等步骤所需的人力资源、设备运转成本与基本物质资源消耗。</t>
  </si>
  <si>
    <t>小时</t>
  </si>
  <si>
    <t>012408000020100</t>
  </si>
  <si>
    <t>心电监测费-遥测心电监测（扩展）</t>
  </si>
  <si>
    <t>012408000030000</t>
  </si>
  <si>
    <t>常规心电图检查费</t>
  </si>
  <si>
    <t>通过心电图机体表采集十二导联及以下心电数据。价格涵盖皮肤清洁、安放电极、连接设备、采集信号、数据分析、出具报告等步骤所需的人力资源、设备运转成本与基本物质资源消耗。</t>
  </si>
  <si>
    <t>次</t>
  </si>
  <si>
    <t>012408000030001</t>
  </si>
  <si>
    <t>常规心电图检查费-十二导联以上（加收）</t>
  </si>
  <si>
    <t>012408000030011</t>
  </si>
  <si>
    <t>常规心电图检查费-心脏晚电位检查（加收）</t>
  </si>
  <si>
    <t>012408000030100</t>
  </si>
  <si>
    <t>常规心电图检查费-心电向量图（扩展）</t>
  </si>
  <si>
    <t>012408000031100</t>
  </si>
  <si>
    <t>常规心电图检查费-频谱心电图（扩展）</t>
  </si>
  <si>
    <t>012408000040000</t>
  </si>
  <si>
    <t>心率变异性分析检查费</t>
  </si>
  <si>
    <t>通过连续记录心电图数据分析心率变化情况。价格涵盖皮肤清洁、安放电极、连接设备、采集信号、数据分析、出具报告等步骤所需的人力资源、设备运转成本与基本物质资源消耗。</t>
  </si>
  <si>
    <t>每日收费不超过120元。</t>
  </si>
  <si>
    <t>012408000050000</t>
  </si>
  <si>
    <t>心电图负荷检查费</t>
  </si>
  <si>
    <t>通过各类运动负荷或药物诱导试验等方式，对比监测心电和血压变化，协助诊断疾病。价格涵盖皮肤清洁、安放电极、记录静息心电图、增加负荷、监测心电和血压变化、数据分析、出具报告等步骤所需的人力资源、设备运转成本与基本物质资源消耗。</t>
  </si>
  <si>
    <t>012408000060000</t>
  </si>
  <si>
    <t>动态心电图检查费</t>
  </si>
  <si>
    <t>通过获取连续的心电图监测数据，协助诊断疾病。价格涵盖皮肤清洁、安放电极、连接设备、采集信号、数据分析、出具报告等步骤所需的人力资源、设备运转成本与基本物质资源消耗。</t>
  </si>
  <si>
    <t>日</t>
  </si>
  <si>
    <t>1.单次检查收取不超过3天，个别患者确有必要的最多可收取5天费用。
2.数码采集低于12导的按80%收取。</t>
  </si>
  <si>
    <t>012408000070000</t>
  </si>
  <si>
    <t>心腔内超声心动图检查费</t>
  </si>
  <si>
    <t>通过将超声探头置于心腔内部，观察心脏各个腔室情况。价格涵盖皮肤清洁、静脉穿刺、置入导管、成像检查、撤除导管、数据分析、出具报告等步骤所需的人力资源、设备运转成本与基本物质资源消耗。</t>
  </si>
  <si>
    <t>013107000010000</t>
  </si>
  <si>
    <t>经食管心脏调搏费</t>
  </si>
  <si>
    <t>通过食管电极对左心房或邻近心脏组织进行电刺激，进行电生理评估或终止室上速。价格涵盖皮肤清洁、安置导管和电极、连接设备、电刺激、采集信号、数据分析、出具报告等步骤所需的人力资源、设备运转成本与基本物质资源消耗。</t>
  </si>
  <si>
    <t>013107000020000</t>
  </si>
  <si>
    <t>经食管心脏起搏费</t>
  </si>
  <si>
    <t>通过食管电极对左心房或邻近心脏组织进行电刺激，进行临时起搏。价格涵盖皮肤清洁、安置导管和电极、连接设备、电刺激、调整起搏参数等步骤所需的人力资源、设备运转成本与基本物质资源消耗。</t>
  </si>
  <si>
    <t>012408000080000</t>
  </si>
  <si>
    <t>心腔三维标测费</t>
  </si>
  <si>
    <t>通过动脉、静脉或心包置入三维标测电极，利用三维重建技术获取心腔三维结构。价格涵盖应用各种三维标测技术构建心腔三维图像所需的人力资源与基本物质资源消耗。</t>
  </si>
  <si>
    <t>012408000090000</t>
  </si>
  <si>
    <t>直立倾斜检查费</t>
  </si>
  <si>
    <t>通过改变体位，监测患者心率、血压和神智的变化，协助诊断疾病。价格涵盖皮肤清洁、安放电极、患者固定、改变体位、监测心电和血压变化、观察患者表现、数据分析、出具报告等步骤所需的人力资源与基本物质资源消耗。</t>
  </si>
  <si>
    <t>不与“心电监测费”同时收取。</t>
  </si>
  <si>
    <t>012408000100000</t>
  </si>
  <si>
    <t>6分钟步行检查费</t>
  </si>
  <si>
    <t>通过步行速度评估患者心脏功能及运动耐力。价格涵盖设备准备、测试过程中生命体征监测、撤除设备、出具报告等步骤所需的人力资源和基本物质资源消耗。</t>
  </si>
  <si>
    <t>012408000110000</t>
  </si>
  <si>
    <t>无创动态血压监测费</t>
  </si>
  <si>
    <t>通过无创的方式连续监测患者血压，获取24小时中多次血压监测数据。价格涵盖固定袖带、动态监测血压、采集数据、撤除袖带、分析、出具报告等步骤所需的人力资源与基本物质资源消耗。</t>
  </si>
  <si>
    <t>012408000120000</t>
  </si>
  <si>
    <t>无创肢体动脉检查费</t>
  </si>
  <si>
    <t>通过无创的方式评估外周动脉病变情况。价格涵盖皮肤清洁、节段性测压或安置传感器、采集数据、撤除传感器、分析、出具报告等步骤所需的人力资源与基本物质资源消耗。</t>
  </si>
  <si>
    <t>013107000030000</t>
  </si>
  <si>
    <t>心脏电除颤/电复律费</t>
  </si>
  <si>
    <t>通过体外直流电除颤/电复律以改变心律。价格涵盖设备安装、除颤或复律、撤除设备等步骤所需的人力资源和基本物质资源消耗。</t>
  </si>
  <si>
    <t>012408000130000</t>
  </si>
  <si>
    <t>连续无创容积变异指数监测费</t>
  </si>
  <si>
    <t>通过无创方式连续监测评估患者的血容量状态和液体反应性。价格涵盖连接设备，连续测量无创容积变异指数、记录数据、撤除设备等步骤所需的人力资源和基本物质资源消耗。</t>
  </si>
  <si>
    <t>012408000140000</t>
  </si>
  <si>
    <t>有创血流动力学监测费</t>
  </si>
  <si>
    <t>通过侵入性的方式测量血流动力学参数指标。价格涵盖连接设备、监测血流动力学相关数据、撤除设备等步骤所需的人力资源和基本物质资源消耗。</t>
  </si>
  <si>
    <t>012408000150000</t>
  </si>
  <si>
    <t>无创血流动力学检查费</t>
  </si>
  <si>
    <t>通过非侵入性的各种检查方法测量血流动力学参数指标。价格涵盖连接设备、监测血流动力学相关数据、撤除设备等步骤所需的人力资源和基本物质资源消耗。</t>
  </si>
  <si>
    <t>项</t>
  </si>
  <si>
    <t>本项目中的“各种检查方法”指：心血流图、心尖搏动图、心音图、心阻抗图、心排出量检查。</t>
  </si>
  <si>
    <t>013107000040000</t>
  </si>
  <si>
    <t>体外反搏治疗费</t>
  </si>
  <si>
    <t>通过球囊使主动脉内收缩期血压降低和舒张期血压增高。价格涵盖皮肤清洁、连接体外反搏设备行体外反搏治疗、撤除设备等所需步骤的人力资源和基本物质资源消耗。</t>
  </si>
  <si>
    <t>012408000010000</t>
  </si>
  <si>
    <t>心脏植入式装置适配费</t>
  </si>
  <si>
    <t>对已置入的心脏植入式电子装置进行程控测试。价格涵盖心脏植入式电子装置连接、数据读取分析、参数调整、功能优化、安全性检查等步骤所需的人力资源和基本物资消耗。</t>
  </si>
  <si>
    <t>1.需在检查或手术治疗前后分别调整的按一次费用收取。
2.植入手术后的初次调试不得收取费用。</t>
  </si>
  <si>
    <t>012408000010100</t>
  </si>
  <si>
    <t>心脏植入式装置适配费-远程适配（扩展）</t>
  </si>
  <si>
    <t>012408000190000</t>
  </si>
  <si>
    <t>冠状动脉造影费</t>
  </si>
  <si>
    <t>通过介入的方式对冠状动脉进行检查。价格涵盖手术计划、术区准备、消毒铺巾、建立通路、冠状动脉造影、撤除、闭合血管通路等手术步骤所需的人力资源和基本物质资源消耗。</t>
  </si>
  <si>
    <t>只做左心室造影或右心室造影按90%收取。</t>
  </si>
  <si>
    <t>012408000190001</t>
  </si>
  <si>
    <t>冠状动脉造影费-儿童（加收）</t>
  </si>
  <si>
    <t>012408000190011</t>
  </si>
  <si>
    <t>冠状动脉造影费-桥血管造影（加收）</t>
  </si>
  <si>
    <t>012408000190021</t>
  </si>
  <si>
    <t>冠状动脉造影费-左心室造影（加收）</t>
  </si>
  <si>
    <t>012408000200000</t>
  </si>
  <si>
    <t>冠状动脉腔内影像学检查费</t>
  </si>
  <si>
    <t>在冠状动脉造影基础上进行腔内影像学检查。价格涵盖连接设备、观察心腔内影像情况、撤除设备等步骤所需的人力资源和基本物质资源消耗。不含冠状动脉造影。</t>
  </si>
  <si>
    <t>本项目中的“冠状动脉腔内影像学检查费”指：冠状动脉血管内超声检查、冠状动脉光学相干断层成像。</t>
  </si>
  <si>
    <t>012408000210000</t>
  </si>
  <si>
    <t>冠状动脉血流储备功能检查费</t>
  </si>
  <si>
    <t>在冠状动脉造影基础上进行血流储备功能检查。价格涵盖连接设备、测量冠状动脉血流储备功能、撤除设备等步骤所需的人力资源和基本物质资源消耗。不含冠状动脉造影。</t>
  </si>
  <si>
    <t>本项目中的“冠状动脉血流储备功能检查费”指：冠状动脉造影检查中通过压力导丝、传感器、造影图像等方式获取的血流储备功能情况，包括但不限于FFR、CFR、QFR、caFFR、iFR等不同测定方法。</t>
  </si>
  <si>
    <t>012408000220000</t>
  </si>
  <si>
    <t>冠状动脉微循环阻力检查费</t>
  </si>
  <si>
    <t>在冠状动脉造影基础上进行微循环阻力检查。价格涵盖连接设备、测量冠状动脉微循环阻力、撤除设备等步骤所需的人力资源和基本物质资源消耗。不含冠状动脉造影。</t>
  </si>
  <si>
    <t>本项目中的“冠状动脉微循环阻力检查费”指：冠状动脉造影检查中通过压力导丝、传感器、造影图像等方式获取的冠脉微循环阻力情况，包括但不限于IMR、caIMR等不同测定方法。</t>
  </si>
  <si>
    <t>013308000030000</t>
  </si>
  <si>
    <t>冠状动脉支架置入费</t>
  </si>
  <si>
    <t>通过支架扩张冠状动脉。价格涵盖手术计划、术区准备、消毒铺巾、建立通路、支架置入、确认治疗效果、撤除、闭合通路，必要时球囊扩张等手术步骤所需的人力资源和基本物质资源消耗。不含冠状动脉造影。</t>
  </si>
  <si>
    <t>血管</t>
  </si>
  <si>
    <t>1.本项目中的“血管”指：左主干、左前降支、左回旋支、右冠状动脉及每支桥血管。
2.同一血管不与“冠状动脉球囊扩张费”同时收取。</t>
  </si>
  <si>
    <t>013308000030001</t>
  </si>
  <si>
    <t>冠状动脉支架置入费-儿童（加收）</t>
  </si>
  <si>
    <t>013308000040000</t>
  </si>
  <si>
    <t>冠状动脉球囊扩张费</t>
  </si>
  <si>
    <t>通过球囊扩张冠状动脉。价格涵盖手术计划、术区准备、消毒铺巾、建立通路、球囊扩张、确认治疗效果、撤除、闭合通路等手术步骤所需的人力资源和基本物质资源消耗。不含冠状动脉造影。</t>
  </si>
  <si>
    <t>1.本项目中的“血管”指：左主干、左前降支、左回旋支、右冠状动脉及每支桥血管。
2.同一血管不与“冠状动脉支架置入费”同时收取。</t>
  </si>
  <si>
    <t>013308000040001</t>
  </si>
  <si>
    <t>冠状动脉球囊扩张费-儿童（加收）</t>
  </si>
  <si>
    <t>013308000050000</t>
  </si>
  <si>
    <t>冠状动脉慢性完全闭塞血管逆向再通治疗费</t>
  </si>
  <si>
    <t>通过血管闭塞端近段及远端两端操作疏通血管。价格涵盖手术计划、术区准备、消毒铺巾、建立通路、连通闭塞段两端、确认治疗效果、撤除、闭合血管通路等所需手术步骤的人力资源和基本物质资源消耗。不含冠状动脉造影。</t>
  </si>
  <si>
    <t>本项目中的“血管”指：左主干、左前降支、左回旋支、右冠状动脉及每支桥血管。</t>
  </si>
  <si>
    <t>013308000050001</t>
  </si>
  <si>
    <t>冠状动脉慢性完全闭塞血管逆向再通治疗费-儿童（加收）</t>
  </si>
  <si>
    <t>013308000060000</t>
  </si>
  <si>
    <t>冠状动脉腔内减容费</t>
  </si>
  <si>
    <t>通过激光、旋切、旋磨、振波、血栓抽吸等各种物理或机械方式消除斑块或血栓。价格涵盖手术计划、术区准备、消毒铺巾、建立通路、消除斑块、确认治疗效果、撤除、闭合通路等手术步骤所需的人力资源和基本物质资源消耗。不含冠状动脉造影。</t>
  </si>
  <si>
    <t>013308000060001</t>
  </si>
  <si>
    <t>冠状动脉腔内减容费-儿童（加收）</t>
  </si>
  <si>
    <t>013308000070000</t>
  </si>
  <si>
    <t>冠状动脉溶栓费</t>
  </si>
  <si>
    <t>通过介入方式对冠状动脉进行溶栓治疗。价格涵盖手术计划、术区准备、消毒铺巾、建立通路、溶栓、确认治疗效果、撤除、闭合通路等手术步骤所需的人力资源和基本物质资源消耗。不含冠状动脉造影。</t>
  </si>
  <si>
    <t>左主干、左前降支、左回旋支、右冠状动脉及每支桥血管分别按一根血管计价。</t>
  </si>
  <si>
    <t>013308000070001</t>
  </si>
  <si>
    <t>冠状动脉溶栓费-儿童（加收）</t>
  </si>
  <si>
    <t>013107000050000</t>
  </si>
  <si>
    <t>主动脉内球囊反搏安装费</t>
  </si>
  <si>
    <t>安装并运行球囊反搏设备。价格涵盖经皮穿刺或切开、球囊导管送至降主动脉、固定导管、连接机器、启动反搏等手术步骤所需的人力资源和基本物质资源消耗。</t>
  </si>
  <si>
    <t>013107000060000</t>
  </si>
  <si>
    <t>主动脉内球囊反搏取出费</t>
  </si>
  <si>
    <t>停止并撤除球囊反搏设备。价格涵盖停止设备、球囊排气、撤除导管、缝合或压迫止血等手术步骤所需的人力资源和基本物质资源消耗。</t>
  </si>
  <si>
    <t>012408000160000</t>
  </si>
  <si>
    <t>主动脉内球囊反搏运行监测费</t>
  </si>
  <si>
    <t>持续监测患者的反搏压及心功能，根据情况进行实时调整。价格涵盖监测患者的反搏压及心功能、调整机器工作模式及参数、记录参数及患者相关指标等步骤所需的人力资源和基本物质资源消耗。</t>
  </si>
  <si>
    <t>012408000230000</t>
  </si>
  <si>
    <t>右心导管检查费</t>
  </si>
  <si>
    <t>通过导管检查测量中心静脉压、右心室压、心输出量、肺动脉压等指标。价格涵盖手术计划、术区准备、消毒铺巾、置入鞘管、测定压力、撤除、闭合通路等手术步骤所需的人力资源和基本物质资源消耗。</t>
  </si>
  <si>
    <t>012408000230001</t>
  </si>
  <si>
    <t>右心导管检查费-儿童（加收）</t>
  </si>
  <si>
    <t>012408000240000</t>
  </si>
  <si>
    <t>左心导管检查费</t>
  </si>
  <si>
    <t>通过导管检查测量主动脉压、左心室压等指标。价格涵盖手术计划、术区准备、消毒铺巾、置入鞘管、测定压力、撤除、闭合通路等手术步骤所需的人力资源和基本物质资源消耗。</t>
  </si>
  <si>
    <t>012408000240001</t>
  </si>
  <si>
    <t>左心导管检查费-儿童（加收）</t>
  </si>
  <si>
    <t>013308000080000</t>
  </si>
  <si>
    <t>主动脉瓣成形费（介入）</t>
  </si>
  <si>
    <t>通过介入的方式治疗主动脉瓣瓣膜狭窄或关闭不全。价格涵盖手术计划、术区准备、消毒铺巾、建立通路、病变瓣膜成形、撤除、闭合血管通路等手术步骤所需的人力资源和基本物质资源消耗。</t>
  </si>
  <si>
    <t>013308000080001</t>
  </si>
  <si>
    <t>主动脉瓣成形费（介入）-儿童（加收）</t>
  </si>
  <si>
    <t>013308000080011</t>
  </si>
  <si>
    <t>主动脉瓣成形费（介入）-瓣中瓣/环中瓣修复（加收）</t>
  </si>
  <si>
    <t>013308000080100</t>
  </si>
  <si>
    <t>主动脉瓣成形费（介入）-肺动脉瓣成形（介入）（扩展）</t>
  </si>
  <si>
    <t>013308000090000</t>
  </si>
  <si>
    <t>二尖瓣成形费（介入）</t>
  </si>
  <si>
    <t>通过介入的方式治疗二尖瓣瓣膜狭窄或关闭不全。价格涵盖手术计划、术区准备、消毒铺巾、建立通路、病变瓣膜成形、撤除、闭合血管通路等手术步骤所需的人力资源和基本物质资源消耗。</t>
  </si>
  <si>
    <t>013308000090001</t>
  </si>
  <si>
    <t>二尖瓣成形费（介入）-儿童（加收）</t>
  </si>
  <si>
    <t>013308000090011</t>
  </si>
  <si>
    <t>二尖瓣成形费（介入）-瓣中瓣/环中瓣修复（加收）</t>
  </si>
  <si>
    <t>013308000090100</t>
  </si>
  <si>
    <t>二尖瓣成形费（介入）-三尖瓣成形（介入）（扩展）</t>
  </si>
  <si>
    <t>013308000091100</t>
  </si>
  <si>
    <t>二尖瓣成形费（介入）-缘对缘修复（扩展）</t>
  </si>
  <si>
    <t>013308000100000</t>
  </si>
  <si>
    <t>主动脉瓣置换费（介入）</t>
  </si>
  <si>
    <t>通过介入的方式用人工瓣膜替换病变瓣膜。价格涵盖手术计划、术区准备、消毒铺巾、建立通路、人工瓣膜输送、撤除、闭合血管通路等手术步骤所需的人力资源和基本物质治疗消耗。</t>
  </si>
  <si>
    <t>013308000100001</t>
  </si>
  <si>
    <t>主动脉瓣置换费（介入）-儿童（加收）</t>
  </si>
  <si>
    <t>013308000100011</t>
  </si>
  <si>
    <t>主动脉瓣置换费（介入）-瓣中瓣/环中瓣修复（加收）</t>
  </si>
  <si>
    <t>013308000100100</t>
  </si>
  <si>
    <t>主动脉瓣置换费（介入）-肺动脉瓣置换（介入）（扩展）</t>
  </si>
  <si>
    <t>013308000110000</t>
  </si>
  <si>
    <t>二尖瓣置换费（介入）</t>
  </si>
  <si>
    <t>013308000110001</t>
  </si>
  <si>
    <t>二尖瓣置换费（介入）-儿童（加收）</t>
  </si>
  <si>
    <t>013308000110011</t>
  </si>
  <si>
    <t>二尖瓣置换费（介入）-瓣中瓣/环中瓣修复（加收）</t>
  </si>
  <si>
    <t>013308000110100</t>
  </si>
  <si>
    <t>二尖瓣置换费（介入）-三尖瓣置换（介入）（扩展）</t>
  </si>
  <si>
    <t>013308000120000</t>
  </si>
  <si>
    <t>结构性心脏病封堵费（常规）</t>
  </si>
  <si>
    <t>通过介入的方式治疗结构性心脏病。价格涵盖手术计划、术区准备、消毒铺巾、建立通路、释放封堵装置、撤除、闭合血管通路等手术步骤所需的人力资源和基本物质资源消耗。</t>
  </si>
  <si>
    <t>1.本项目中的“常规”指：包括但不限于动脉导管未闭、房间隔缺损、室间隔缺损、卵圆孔未闭以及左心耳封堵等情况。
2.同时涉及多个疾病的可分别计费。</t>
  </si>
  <si>
    <t>013308000120001</t>
  </si>
  <si>
    <t>结构性心脏病封堵费（常规）-儿童（加收）</t>
  </si>
  <si>
    <t>013308000130000</t>
  </si>
  <si>
    <t>结构性心脏病封堵费（复杂）</t>
  </si>
  <si>
    <t>通过介入的方式治疗复杂结构性心脏病。价格涵盖手术计划、术区准备、消毒铺巾、建立通路、释放封堵装置、撤除、闭合血管通路等手术步骤所需的人力资源和基本物质资源消耗。</t>
  </si>
  <si>
    <t>1.本项目中的“复杂”指：肺动静脉瘘、冠状动脉瘘、主动脉窦瘤、瓣周漏、吻合口漏。
2.同时涉及多个疾病的可分别计费。</t>
  </si>
  <si>
    <t>013308000130001</t>
  </si>
  <si>
    <t>结构性心脏病封堵费（复杂）-儿童（加收）</t>
  </si>
  <si>
    <t>013308000140000</t>
  </si>
  <si>
    <t>房间隔分流费</t>
  </si>
  <si>
    <t>通过穿刺、消融、介入等方式制造房间隔交通。价格涵盖手术计划、术区准备、消毒铺巾、建立通路、制造房间隔交通、闭合血管通路等手术步骤所需的人力资源和基本物质资源消耗。</t>
  </si>
  <si>
    <t>013308000140001</t>
  </si>
  <si>
    <t>房间隔分流费-儿童（加收）</t>
  </si>
  <si>
    <t>013308000150000</t>
  </si>
  <si>
    <t>肥厚型心肌病消融费</t>
  </si>
  <si>
    <t>通过介入的方式消融肥厚的室间隔。价格涵盖手术计划、术区准备、消毒铺巾、建立通路、采用不同的消融能量或介质进行消融、撤除、闭合血管通路等手术步骤所需的人力资源和基本物质资源消耗。不含冠状动脉造影。</t>
  </si>
  <si>
    <t>本项目中的“消融能量或介质”指：包括但不限于化学、射频、冷冻、脉冲等方式。</t>
  </si>
  <si>
    <t>013308000150001</t>
  </si>
  <si>
    <t>肥厚型心肌病消融费-儿童（加收）</t>
  </si>
  <si>
    <t>013308000160000</t>
  </si>
  <si>
    <t>心律失常消融费（常规）</t>
  </si>
  <si>
    <t>通过介入的方式消融心律失常病灶。价格涵盖手术计划、术区准备、消毒铺巾、建立通路、穿刺、采用不同的消融能量或介质进行消融、撤除、闭合血管通路等手术步骤所需的人力资源和基本物质资源消耗。</t>
  </si>
  <si>
    <t>1.本项目中的“心率失常病灶”指：包括但不限于阵发性室上性心动过速、预激综合症、I型心房扑动、房性早搏、室性早搏、房性心动过速、非器质性心脏病的室性心动过速。
2.消融能量或介质包括但不限于化学、射频、冷冻、脉冲等方式。</t>
  </si>
  <si>
    <t>013308000160001</t>
  </si>
  <si>
    <t>心律失常消融费（常规）-儿童（加收）</t>
  </si>
  <si>
    <t>013308000170000</t>
  </si>
  <si>
    <t>心律失常消融费（复杂）</t>
  </si>
  <si>
    <t>通过介入的方式消融复杂心律失常病灶。价格涵盖手术计划、术区准备、消毒铺巾、建立通路、穿刺、采用不同的消融能量或介质进行消融、撤除、闭合血管通路等手术步骤所需的人力资源和基本物质资源消耗。</t>
  </si>
  <si>
    <t>1.本项目中的“心率失常病灶”指：心房颤动、II型心房扑动、器质性心脏病的室性心动过速。
2.消融能量或介质包括但不限于化学、射频、冷冻、脉冲等方式。</t>
  </si>
  <si>
    <t>013308000170001</t>
  </si>
  <si>
    <t>心律失常消融费（复杂）-儿童（加收）</t>
  </si>
  <si>
    <t>013308000180000</t>
  </si>
  <si>
    <t>肾动脉去神经费</t>
  </si>
  <si>
    <t>通过介入的方式消融肾交感神经。价格涵盖手术计划、术区准备、消毒铺巾、穿刺、放置鞘管、消融治疗，撤除、闭合通路等手术步骤所需的人力资源和基本物质资源消耗。</t>
  </si>
  <si>
    <t>013308000180001</t>
  </si>
  <si>
    <t>肾动脉去神经费-儿童（加收）</t>
  </si>
  <si>
    <t>013308000190000</t>
  </si>
  <si>
    <t>肺动脉去神经费</t>
  </si>
  <si>
    <t>通过介入的方式消融肺交感神经。</t>
  </si>
  <si>
    <t>013308000190001</t>
  </si>
  <si>
    <t>肺动脉去神经费-儿童（加收）</t>
  </si>
  <si>
    <t>012408000250000</t>
  </si>
  <si>
    <t>有创心内电生理检查费</t>
  </si>
  <si>
    <t>通过介入的方式诱发和诊断心律失常以及验证导管消融有效性。价格涵盖介入手术计划、术区准备、消毒铺巾、建立通路、放置导管、电生理检查和分析、药物激发、撤出导管、闭合通路等手术步骤所需的人力资源和基本物质资源消耗。</t>
  </si>
  <si>
    <t>012408000250001</t>
  </si>
  <si>
    <t>有创心内电生理检查费-儿童（加收）</t>
  </si>
  <si>
    <t>013308000200000</t>
  </si>
  <si>
    <t>植入式心电监测器安装费</t>
  </si>
  <si>
    <t>通过皮下植入心电监测器，监测患者心电活动。价格涵盖手术计划、术区准备、消毒铺巾、皮下植入、缝合，心电事件记录及存储等步骤所需的人力资源和基本物质资源消耗。</t>
  </si>
  <si>
    <t>013308000200001</t>
  </si>
  <si>
    <t>植入式心电监测器安装费-儿童（加收）</t>
  </si>
  <si>
    <t>013308000210000</t>
  </si>
  <si>
    <t>植入式心电监测器取出费</t>
  </si>
  <si>
    <t>通过手术取出植入式心电监测器。价格涵盖手术计划、术区准备、消毒铺巾、取出、缝合等步骤所需的人力资源和基本物质资源消耗。</t>
  </si>
  <si>
    <t>013308000210001</t>
  </si>
  <si>
    <t>植入式心电监测器取出费-儿童（加收）</t>
  </si>
  <si>
    <t>013308000220000</t>
  </si>
  <si>
    <t>永久起搏器安装费</t>
  </si>
  <si>
    <t>通过介入的方式安装单腔、双腔或无导线永久起搏器。价格涵盖手术计划、术区准备、消毒铺巾、皮下囊袋制备、心房或心室起搏电极植入、参数调试、起搏器安置、缝合、程控测试等诊疗步骤的人力资源和基本物质资源消耗。</t>
  </si>
  <si>
    <t>013308000220001</t>
  </si>
  <si>
    <t>永久起搏器安装费-儿童（加收）</t>
  </si>
  <si>
    <t>013308000220011</t>
  </si>
  <si>
    <t>永久起搏器安装费-三腔起搏器/除颤器安装（加收）</t>
  </si>
  <si>
    <t>013308000220100</t>
  </si>
  <si>
    <t>永久起搏器安装费-植入式心脏复律除颤器安装（扩展）</t>
  </si>
  <si>
    <t>013308000221100</t>
  </si>
  <si>
    <t>永久起搏器安装费-植入式心脏收缩力调节器安装（扩展）</t>
  </si>
  <si>
    <t>013308000230000</t>
  </si>
  <si>
    <t>永久起搏器电极取出费</t>
  </si>
  <si>
    <t>通过介入的方式取出原永久起搏器起搏电极导线。价格涵盖手术计划、术区准备、消毒铺巾、取出原永久起搏器起搏电极导线、缝合等手术步骤所需的人力资源和基本物质资源消耗。</t>
  </si>
  <si>
    <t>013308000230001</t>
  </si>
  <si>
    <t>永久起搏器电极取出费-儿童（加收）</t>
  </si>
  <si>
    <t>013308000230011</t>
  </si>
  <si>
    <t>永久起搏器电极取出费-结扎包埋（加收）</t>
  </si>
  <si>
    <t>013308000230021</t>
  </si>
  <si>
    <t>永久起搏器电极取出费-导线调整（减收）</t>
  </si>
  <si>
    <t>013308000230100</t>
  </si>
  <si>
    <t>永久起搏器电极取出费-植入式心脏复律除颤器电极更换（扩展）</t>
  </si>
  <si>
    <t>013308000231100</t>
  </si>
  <si>
    <t>永久起搏器电极取出费-植入式心脏收缩力调节器电极更换(扩展）</t>
  </si>
  <si>
    <t>013308000240000</t>
  </si>
  <si>
    <t>永久起搏器更换费</t>
  </si>
  <si>
    <t>通过介入的方式取出原起搏器，更换新的起搏器。价格涵盖手术计划、术区准备、消毒铺巾、切口囊袋，取出原起搏器、调整起搏器囊袋大小、原导线测试，导线与新起搏器连接、缝合等手术步骤所需的人力资源和基本物资消耗。</t>
  </si>
  <si>
    <t>若为器械升级手术应按照相应器械的安装费收取。</t>
  </si>
  <si>
    <t>013308000240001</t>
  </si>
  <si>
    <t>永久起搏器更换费-儿童（加收）</t>
  </si>
  <si>
    <t>013308000240100</t>
  </si>
  <si>
    <t>永久起搏器更换费-植入式心脏复律除颤器更换（扩展）</t>
  </si>
  <si>
    <t>013308000241100</t>
  </si>
  <si>
    <t>永久起搏器更换费-植入式心脏收缩力调节器更换（扩展）</t>
  </si>
  <si>
    <t>013308000250000</t>
  </si>
  <si>
    <t>永久起搏器取出费</t>
  </si>
  <si>
    <t>通过介入的方式取出原起搏器及导线。价格涵盖手术计划、术区准备、消毒铺巾、切口囊袋、取出起搏器、处理包埋原导线、缝合等手术步骤所需的人力资源和基本物资消耗。</t>
  </si>
  <si>
    <t>013308000250001</t>
  </si>
  <si>
    <t>永久起搏器取出费-儿童（加收）</t>
  </si>
  <si>
    <t>013308000250011</t>
  </si>
  <si>
    <t>永久起搏器取出费-囊袋清创（加收）</t>
  </si>
  <si>
    <t>013308000250100</t>
  </si>
  <si>
    <t>永久起搏器取出费-植入式心脏复律除颤器取出（扩展）</t>
  </si>
  <si>
    <t>013308000251100</t>
  </si>
  <si>
    <t>永久起搏器取出费-植入式心脏收缩力调节器取出（扩展）</t>
  </si>
  <si>
    <t>013308000260000</t>
  </si>
  <si>
    <t>心外膜永久起搏器植入费</t>
  </si>
  <si>
    <t>通过手术的方式安装心外膜永久起搏器价格涵盖手术计划、术区准备、消毒铺巾、心外膜电极植入、囊袋制备、参数调试、起搏器安置、缝合、程控测试等步骤所需的人力资源和基本物质资源消耗。</t>
  </si>
  <si>
    <t>013308000260001</t>
  </si>
  <si>
    <t>心外膜永久起搏器植入费-儿童（加收）</t>
  </si>
  <si>
    <t>013308000270000</t>
  </si>
  <si>
    <t>临时起搏器安装费</t>
  </si>
  <si>
    <t>通过介入方式安装并运行临时起搏器。价格涵盖手术计划、术区准备、消毒铺巾、介入方式放置电极导线，连接临时起搏器、测试参数等手术步骤所需的人力资源和基本物资消耗。</t>
  </si>
  <si>
    <t>013308000270001</t>
  </si>
  <si>
    <t>临时起搏器安装费-儿童（加收）</t>
  </si>
  <si>
    <t>013308000280000</t>
  </si>
  <si>
    <t>临时起搏器取出费</t>
  </si>
  <si>
    <t>停止并撤除临时起搏器。价格涵盖手术计划、术区准备、消毒铺巾、停止起搏、完全移除电极导线、闭合通路等手术步骤所需的人力资源和基本物资消耗。</t>
  </si>
  <si>
    <t>导线未完全移除的不计价收费。</t>
  </si>
  <si>
    <t>013308000280001</t>
  </si>
  <si>
    <t>临时起搏器取出费-儿童（加收）</t>
  </si>
  <si>
    <t>013107000070000</t>
  </si>
  <si>
    <t>临时起搏器运行监测费</t>
  </si>
  <si>
    <t>对临时起搏器参数的调整，持续提供临时性心脏起搏。价格涵盖临时起搏器参数、位置调整，功能状态的评估等步骤所需的人力资源和基本物资消耗。</t>
  </si>
  <si>
    <t>013308000290000</t>
  </si>
  <si>
    <t>体外循环转流费</t>
  </si>
  <si>
    <t>通过设备在手术中建立替代循环的体外系统，维持血液循环。价格涵盖患者评估、切开、穿刺、插管、管路连接、预充、转流、调试、控制、监测、撤除等步骤所需的人力资源、设备运转成本和基本物质资源消耗。</t>
  </si>
  <si>
    <t>本项目中的“微创体外循环转流”指：因手术需要开展的负压辅助静脉引流技术。</t>
  </si>
  <si>
    <t>013308000290001</t>
  </si>
  <si>
    <t>体外循环转流费-儿童（加收）</t>
  </si>
  <si>
    <t>013308000290011</t>
  </si>
  <si>
    <t>体外循环转流费-微创体外循环转流（加收）</t>
  </si>
  <si>
    <t>013308000300000</t>
  </si>
  <si>
    <t>备体外循环费</t>
  </si>
  <si>
    <t>在具有风险的非体外循环手术期间，备齐紧急体外循环所需用品，做好启动体外循环的准备。价格涵盖设备准备、管路连接、预充、调试等步骤所需的人力资源、设备运转成本和基本物质资源消耗。</t>
  </si>
  <si>
    <t>不可与“体外循环转流费”在同台手术同时收取。</t>
  </si>
  <si>
    <t>013308000300001</t>
  </si>
  <si>
    <t>备体外循环费-儿童（加收）</t>
  </si>
  <si>
    <t>013107000080000</t>
  </si>
  <si>
    <t>体外人工膜肺安装费</t>
  </si>
  <si>
    <t>通过安装人工体外膜肺，替代或辅助肺循环，实现气体交换。价格涵盖患者评估、切开、穿刺、插管、预充、血泵及膜肺连接、启动、调试、控制等步骤所需的人力资源、设备运转成本和基本物质资源消耗。</t>
  </si>
  <si>
    <t>本项目中的“体外循环辅助装置”指：通过各种原理进行短期心室循环的装置。</t>
  </si>
  <si>
    <t>013107000080001</t>
  </si>
  <si>
    <t>体外人工膜肺安装费-儿童（加收）</t>
  </si>
  <si>
    <t>013107000080100</t>
  </si>
  <si>
    <t>体外人工膜肺安装费-体外循环辅助装置安装（扩展）</t>
  </si>
  <si>
    <t>013107000090000</t>
  </si>
  <si>
    <t>体外人工膜肺撤除费</t>
  </si>
  <si>
    <t>撤除体外膜肺。价格涵盖患者评估、减流、停机、撤除等步骤所需的人力资源、设备运转成本和基本物质资源消耗。</t>
  </si>
  <si>
    <t>013107000090001</t>
  </si>
  <si>
    <t>体外人工膜肺撤除费-儿童（加收）</t>
  </si>
  <si>
    <t>013107000090100</t>
  </si>
  <si>
    <t>体外人工膜肺撤除费-体外循环辅助装置撤除（扩展）</t>
  </si>
  <si>
    <t>012408000170000</t>
  </si>
  <si>
    <t>体外人工膜肺运行监测费</t>
  </si>
  <si>
    <t>在体外人工膜肺运行过程中进行人工膜肺设备运行监测。价格涵盖观察、调试、监测等步骤所需的人力资源、设备运转成本和基本物质资源消耗。不含患者基础生命体征监测。</t>
  </si>
  <si>
    <t>012408000170100</t>
  </si>
  <si>
    <t>体外人工膜肺运行监测费-体外循环辅助装置运行监测（扩展）</t>
  </si>
  <si>
    <t>013107000100000</t>
  </si>
  <si>
    <t>体外人工膜肺置换费</t>
  </si>
  <si>
    <t>通过对膜肺、血泵等组件进行更换。价格涵盖降低血泵流量、暂停辅助、置换组件、连接、启动、调试等步骤所需的人力资源和基本物质资源消耗。</t>
  </si>
  <si>
    <t>013107000100001</t>
  </si>
  <si>
    <t>体外人工膜肺置换费-儿童（加收）</t>
  </si>
  <si>
    <t>013107000100100</t>
  </si>
  <si>
    <t>体外人工膜肺置换费-体外循环辅助装置置换（扩展）</t>
  </si>
  <si>
    <t>013308000010000</t>
  </si>
  <si>
    <t>心室辅助装置植入费</t>
  </si>
  <si>
    <t>通过手术植入心室辅助装置，进行过渡性或长期机械循环支持。价格涵盖手术计划、术区准备、消毒、切开、血泵植入、人工血管吻合、缝合、处理用物等步骤所需的人力资源和基本物质资源消耗。</t>
  </si>
  <si>
    <t>013308000010001</t>
  </si>
  <si>
    <t>心室辅助装置植入费-儿童（加收）</t>
  </si>
  <si>
    <t>013308000010011</t>
  </si>
  <si>
    <t>心室辅助装置植入费-再次手术（加收）</t>
  </si>
  <si>
    <t>013308000020000</t>
  </si>
  <si>
    <t>心室辅助装置取出费</t>
  </si>
  <si>
    <t>通过手术取出心室辅助装置。价格涵盖手术计划、术区准备、消毒、切开、停止并撤除设备、缝合、处理用物等步骤所需的人力资源和基本物质资源消耗。</t>
  </si>
  <si>
    <t>心室辅助装置置换按“心室辅助装置植入费”及“心室辅助装置取出费”收取。</t>
  </si>
  <si>
    <t>013308000020001</t>
  </si>
  <si>
    <t>心室辅助装置取出费-儿童（加收）</t>
  </si>
  <si>
    <t>012408000180000</t>
  </si>
  <si>
    <t>术中血管桥流量测定费</t>
  </si>
  <si>
    <t>通过测量手术中桥血管的血流量，评估血管堵塞程度。价格涵盖探头置入、持续监测、撤除等步骤所需的人力资源和基本物质资源消耗。</t>
  </si>
  <si>
    <t>013308000310000</t>
  </si>
  <si>
    <t>冠状动脉旁路移植费</t>
  </si>
  <si>
    <t>通过人工血管或生物血管，连接狭窄冠状动脉的远端和主动脉。价格涵盖手术计划、术区准备、消毒、切开、吻合血管、缝合、处理用物等步骤所需的人力资源和基本物质资源消耗。</t>
  </si>
  <si>
    <t>013308000310001</t>
  </si>
  <si>
    <t>冠状动脉旁路移植费-儿童（加收）</t>
  </si>
  <si>
    <t>013308000310011</t>
  </si>
  <si>
    <t>冠状动脉旁路移植费-微创手术（加收）</t>
  </si>
  <si>
    <t>013308000310021</t>
  </si>
  <si>
    <t>冠状动脉旁路移植费-再次手术（加收）</t>
  </si>
  <si>
    <t>013308000310031</t>
  </si>
  <si>
    <t>冠状动脉旁路移植费-每使用一支动脉桥（加收）</t>
  </si>
  <si>
    <t>013308000310041</t>
  </si>
  <si>
    <t>冠状动脉旁路移植费-冠状动脉内膜剥脱（加收）</t>
  </si>
  <si>
    <t>013308000320000</t>
  </si>
  <si>
    <t>腔静脉右心房搭桥费</t>
  </si>
  <si>
    <t>通过手术建立上腔静脉/下腔静脉与右心房之间的血流通路。价格涵盖手术计划、术区准备、消毒、切开、吻合血管、缝合、处理用物等步骤所需的人力资源和基本物质资源消耗。</t>
  </si>
  <si>
    <t>013308000320001</t>
  </si>
  <si>
    <t>腔静脉右心房搭桥费-儿童（加收）</t>
  </si>
  <si>
    <t>013308000330000</t>
  </si>
  <si>
    <t>冠状动脉肌桥松解费</t>
  </si>
  <si>
    <t>通过切除部分心肌组织，减少对冠状动脉的压迫。价格涵盖手术计划、术区准备、消毒、切开、缝合、处理用物等步骤所需的人力资源和基本物质资源消耗。</t>
  </si>
  <si>
    <t>不与“冠状动脉旁路移植费”同时收取。</t>
  </si>
  <si>
    <t>013308000330001</t>
  </si>
  <si>
    <t>冠状动脉肌桥松解费-儿童（加收）</t>
  </si>
  <si>
    <t>013308000340000</t>
  </si>
  <si>
    <t>室壁瘤手术费</t>
  </si>
  <si>
    <t>通过各种手术方式修复室壁瘤体。价格涵盖手术计划、术区准备、消毒、切开、折叠或切除室壁瘤、缝合、处理用物等步骤所需的人力资源和基本物质资源消耗。</t>
  </si>
  <si>
    <t>013308000340001</t>
  </si>
  <si>
    <t>室壁瘤手术费-儿童（加收）</t>
  </si>
  <si>
    <t>013308000340011</t>
  </si>
  <si>
    <t>室壁瘤手术费-室间隔穿孔修补（加收）</t>
  </si>
  <si>
    <t>013308000340021</t>
  </si>
  <si>
    <t>室壁瘤手术费-左室成形（加收）</t>
  </si>
  <si>
    <t>013308000350000</t>
  </si>
  <si>
    <t>心包剥脱费</t>
  </si>
  <si>
    <t>通过手术对缩窄性心包炎进行心包剥脱。价格涵盖手术计划、术区准备、消毒、切开、剥离心包、缝合、处理用物等步骤所需的人力资源和基本物质资源消耗。</t>
  </si>
  <si>
    <t>013308000350001</t>
  </si>
  <si>
    <t>心包剥脱费-儿童（加收）</t>
  </si>
  <si>
    <t>013308000360000</t>
  </si>
  <si>
    <t>心脏血栓清除费</t>
  </si>
  <si>
    <t>通过手术对心房/心室血栓进行清除治疗。价格涵盖手术计划、术区准备、消毒、切开、清除血栓、缝合、处理用物等步骤所需的人力资源和基本物质资源消耗。</t>
  </si>
  <si>
    <t>013308000360001</t>
  </si>
  <si>
    <t>心脏血栓清除费-儿童（加收）</t>
  </si>
  <si>
    <t>013308000370000</t>
  </si>
  <si>
    <t>心包开窗引流费</t>
  </si>
  <si>
    <t>通过手术对心包进行开窗及引流。价格涵盖手术计划、术区准备、消毒、切开、引出心包腔内积液、缝合、处理用物等步骤所需的人力资源和基本物质资源消耗。不含心包穿刺。</t>
  </si>
  <si>
    <t>心脏术后感染伤口清创引流按40%收取。</t>
  </si>
  <si>
    <t>013308000370001</t>
  </si>
  <si>
    <t>心包开窗引流费-儿童（加收）</t>
  </si>
  <si>
    <t>013308000380000</t>
  </si>
  <si>
    <t>心包肿瘤切除费</t>
  </si>
  <si>
    <t>通过手术对心包的肿瘤进行切除。价格涵盖手术计划、术区准备、消毒、切开、切除、缝合、处理用物等步骤所需的人力资源和基本物质资源消耗。</t>
  </si>
  <si>
    <t>013308000380001</t>
  </si>
  <si>
    <t>心包肿瘤切除费-儿童（加收）</t>
  </si>
  <si>
    <t>013308000380011</t>
  </si>
  <si>
    <t>心包肿瘤切除费-恶性肿瘤（加收）</t>
  </si>
  <si>
    <t>013308000390000</t>
  </si>
  <si>
    <t>心脏肿瘤切除费</t>
  </si>
  <si>
    <t>通过手术对心脏的肿瘤进行切除。价格涵盖手术计划、术区准备、消毒、切开、切除、缝合、处理用物，必要时补片修补等步骤所需的人力资源和基本物质资源消耗。</t>
  </si>
  <si>
    <t>013308000390001</t>
  </si>
  <si>
    <t>心脏肿瘤切除费-儿童（加收）</t>
  </si>
  <si>
    <t>013308000390011</t>
  </si>
  <si>
    <t>心脏肿瘤切除费-恶性肿瘤（加收）</t>
  </si>
  <si>
    <t>013308000400000</t>
  </si>
  <si>
    <t>心内异物取出费</t>
  </si>
  <si>
    <t>通过手术取出心脏内的异物或植入物。价格涵盖手术计划、术区准备、消毒、切开、取出、缝合、处理用物，必要时补片修补等步骤所需的人力资源和基本物质资源消耗。</t>
  </si>
  <si>
    <t>013308000400001</t>
  </si>
  <si>
    <t>心内异物取出费-儿童（加收）</t>
  </si>
  <si>
    <t>013308000410000</t>
  </si>
  <si>
    <t>心脏破损修补费</t>
  </si>
  <si>
    <t>通过手术对破损心脏进行修补。价格涵盖手术计划、术区准备、消毒、切开、修补、缝合、处理用物，必要时补片修补等步骤所需的人力资源和基本物质资源消耗。</t>
  </si>
  <si>
    <t>013308000410001</t>
  </si>
  <si>
    <t>心脏破损修补费-儿童（加收）</t>
  </si>
  <si>
    <t>013308000420000</t>
  </si>
  <si>
    <t>开胸心脏挤压费</t>
  </si>
  <si>
    <t>通过手术对心脏进行挤压。价格涵盖手术计划、术区准备、消毒、切开、直视心脏按压、缝合、处理用物等步骤所需的人力资源和基本物质资源消耗。</t>
  </si>
  <si>
    <t>不与体外循环各类手术费同时收费。</t>
  </si>
  <si>
    <t>013308000420001</t>
  </si>
  <si>
    <t>开胸心脏挤压费-儿童（加收）</t>
  </si>
  <si>
    <t>013308000430000</t>
  </si>
  <si>
    <t>室间隔部分心肌切除费</t>
  </si>
  <si>
    <t>通过手术对原发性或继发性肥厚室间隔进行切除。价格涵盖手术计划、术区准备、消毒、切开、切除、缝合、处理用物，必要时补片修补等步骤所需的人力资源和基本物质资源消耗。</t>
  </si>
  <si>
    <t>013308000430001</t>
  </si>
  <si>
    <t>室间隔部分心肌切除费-儿童（加收）</t>
  </si>
  <si>
    <t>013308000440000</t>
  </si>
  <si>
    <t>心耳闭合费</t>
  </si>
  <si>
    <t>通过手术对左心耳进行闭合。价格涵盖手术计划、术区准备、消毒、切开、心内缝合或心耳闭合系统等方式闭合左心耳、缝合、处理用物，必要时补片修补等步骤所需的人力资源和基本物质资源消耗。</t>
  </si>
  <si>
    <t>013308000440001</t>
  </si>
  <si>
    <t>心耳闭合费-儿童（加收）</t>
  </si>
  <si>
    <t>013308000440011</t>
  </si>
  <si>
    <t>心耳闭合费-微创手术（加收）</t>
  </si>
  <si>
    <t>013308000450000</t>
  </si>
  <si>
    <t>心脏直视消融费</t>
  </si>
  <si>
    <t>通过手术的方式消融心律失常病灶。价格涵盖手术计划、术区准备、消毒、切开、消融治疗、缝合、处理用物等步骤所需的人力资源和基本物质资源消耗。</t>
  </si>
  <si>
    <t>013308000450001</t>
  </si>
  <si>
    <t>心脏直视消融费-儿童（加收）</t>
  </si>
  <si>
    <t>013308000450011</t>
  </si>
  <si>
    <t>心脏直视消融费-微创手术（加收）</t>
  </si>
  <si>
    <t>013308000460000</t>
  </si>
  <si>
    <t>法洛四联症矫治费</t>
  </si>
  <si>
    <t>通过手术对法洛四联症患者进行治疗。价格涵盖手术计划、术区准备、消毒、切开、室间隔缺损修补、右心室流出道疏通、缝合、处理用物等步骤所需的人力资源和基本物质资源消耗。</t>
  </si>
  <si>
    <t>不与“右室流出道疏通费”及“肺动脉成形费”同时收取。</t>
  </si>
  <si>
    <t>013308000460001</t>
  </si>
  <si>
    <t>法洛四联症矫治费-儿童（加收）</t>
  </si>
  <si>
    <t>013308000470000</t>
  </si>
  <si>
    <t>房间隔缺损修补费</t>
  </si>
  <si>
    <t>通过手术对缺损房间隔进行修补。价格涵盖手术计划、术区准备、消毒、切开、修补、缝合、处理用物，必要时补片修补等步骤所需的人力资源和基本物质资源消耗。</t>
  </si>
  <si>
    <t>013308000470001</t>
  </si>
  <si>
    <t>房间隔缺损修补费-儿童（加收）</t>
  </si>
  <si>
    <t>013308000470011</t>
  </si>
  <si>
    <t>房间隔缺损修补费-微创手术（加收）</t>
  </si>
  <si>
    <t>013308000480000</t>
  </si>
  <si>
    <t>房间隔造口/房间隔缺损扩大费</t>
  </si>
  <si>
    <t>通过手术建立或扩大左心房与右心房之间的通道。价格涵盖手术计划、术区准备、消毒、切开、房间隔造口或房间隔缺损扩大、缝合、处理用物等步骤所需的人力资源和基本物质资源消耗。</t>
  </si>
  <si>
    <t>013308000480001</t>
  </si>
  <si>
    <t>房间隔造口/房间隔缺损扩大费-儿童（加收）</t>
  </si>
  <si>
    <t>013308000490000</t>
  </si>
  <si>
    <t>室间隔缺损修补费</t>
  </si>
  <si>
    <t>通过手术对缺损室间隔进行修补。价格涵盖手术计划、术区准备、消毒、切开、修补、缝合、处理用物，必要时补片修补等步骤所需的人力资源和基本物质资源消耗。</t>
  </si>
  <si>
    <t>013308000490001</t>
  </si>
  <si>
    <t>室间隔缺损修补费-儿童（加收）</t>
  </si>
  <si>
    <t>013308000490011</t>
  </si>
  <si>
    <t>室间隔缺损修补费-微创手术（加收）</t>
  </si>
  <si>
    <t>013308000500000</t>
  </si>
  <si>
    <t>部分型心内膜垫缺损矫治费</t>
  </si>
  <si>
    <t>通过手术对部分缺损的心内膜垫进行修补。价格涵盖手术计划、术区准备、消毒、切开、修补、处理瓣膜裂、缝合、处理用物，必要时补片修补等步骤所需的人力资源和基本物质资源消耗。</t>
  </si>
  <si>
    <t>013308000500001</t>
  </si>
  <si>
    <t>部分型心内膜垫缺损矫治费-儿童（加收）</t>
  </si>
  <si>
    <t>013308000500100</t>
  </si>
  <si>
    <t>部分型心内膜垫缺损矫治费-过渡性心内膜垫缺损矫治（扩展）</t>
  </si>
  <si>
    <t>013308000510000</t>
  </si>
  <si>
    <t>完全型心内膜垫缺损矫治费</t>
  </si>
  <si>
    <t>通过手术对完全缺损的心内膜垫进行修补。价格涵盖手术计划、术区准备、消毒、切开、修补、处理房室畸形、缝合、处理用物，必要时补片修补等步骤所需的人力资源和基本物质资源消耗。</t>
  </si>
  <si>
    <t>013308000510001</t>
  </si>
  <si>
    <t>完全型心内膜垫缺损矫治费-儿童（加收）</t>
  </si>
  <si>
    <t>013308000520000</t>
  </si>
  <si>
    <t>动脉导管闭合费</t>
  </si>
  <si>
    <t>通过手术闭合动脉导管开口。价格涵盖手术计划、术区准备、消毒、切开、闭合、缝合、处理用物等步骤所需的人力资源和基本物质资源消耗。</t>
  </si>
  <si>
    <t>013308000520001</t>
  </si>
  <si>
    <t>动脉导管闭合费-儿童（加收）</t>
  </si>
  <si>
    <t>013308000530000</t>
  </si>
  <si>
    <t>左心发育不良综合征分期手术费</t>
  </si>
  <si>
    <t>通过手术对存在左心发育不良综合征的患者进行分期手术。价格涵盖手术计划、术区准备、消毒、切开、重建左心流出通道、缝合、处理用物，必要时补片修补等步骤所需的人力资源和基本物质资源消耗。</t>
  </si>
  <si>
    <t>013308000530001</t>
  </si>
  <si>
    <t>左心发育不良综合征分期手术费-儿童（加收）</t>
  </si>
  <si>
    <t>013308000540000</t>
  </si>
  <si>
    <t>左心发育不良综合征双心室修复费</t>
  </si>
  <si>
    <t>通过手术对存在左心发育不良综合征的患者进行双侧心室修复。价格涵盖手术计划、术区准备、消毒、切开、二尖瓣成形、主动脉瓣成形、主动脉成形、缝合、处理用物等步骤所需的人力资源和基本物质资源消耗。</t>
  </si>
  <si>
    <t>013308000540001</t>
  </si>
  <si>
    <t>左心发育不良综合征双心室修复费-儿童（加收）</t>
  </si>
  <si>
    <t>013308000550000</t>
  </si>
  <si>
    <t>右室流出道疏通费</t>
  </si>
  <si>
    <t>通过手术对右心室流出道梗阻进行疏通。价格涵盖手术计划、术区准备、消毒、切开、疏通、缝合、处理用物等步骤所需的人力资源和基本物质资源消耗。</t>
  </si>
  <si>
    <t>013308000550001</t>
  </si>
  <si>
    <t>右室流出道疏通费-儿童（加收）</t>
  </si>
  <si>
    <t>013308000550100</t>
  </si>
  <si>
    <t>右室流出道疏通费-右室双腔心矫治（扩展）</t>
  </si>
  <si>
    <t>013308000560000</t>
  </si>
  <si>
    <t>右心室双出口矫治费</t>
  </si>
  <si>
    <t>通过手术对存在双出口畸形的右心室进行治疗。价格涵盖手术计划、术区准备、消毒、切开、建立内隧道、修补、主动脉隔至左室、缝合、处理用物等步骤所需的人力资源和基本物质资源消耗。</t>
  </si>
  <si>
    <t>013308000560001</t>
  </si>
  <si>
    <t>右心室双出口矫治费-儿童（加收）</t>
  </si>
  <si>
    <t>013308000570000</t>
  </si>
  <si>
    <t>心房调转费</t>
  </si>
  <si>
    <t>通过手术对大动脉转位畸形进行矫正。价格涵盖手术计划、术区准备、消毒、切开、自体或异体组织构建调转通道、缝合、处理用物等步骤所需的人力资源和基本物质资源消耗。</t>
  </si>
  <si>
    <t>013308000570001</t>
  </si>
  <si>
    <t>心房调转费-儿童（加收）</t>
  </si>
  <si>
    <t>013308000580000</t>
  </si>
  <si>
    <t>三房心矫治费</t>
  </si>
  <si>
    <t>通过手术对三房心畸形进行矫正。价格涵盖手术计划、术区准备、消毒、切开、切除、修补、主动脉成形、缝合、处理用物等步骤所需的人力资源和基本物质资源消耗。</t>
  </si>
  <si>
    <t>013308000580001</t>
  </si>
  <si>
    <t>三房心矫治费-儿童（加收）</t>
  </si>
  <si>
    <t>013308000590000</t>
  </si>
  <si>
    <t>主动脉瓣成形费</t>
  </si>
  <si>
    <t>通过手术对主动脉瓣瓣膜进行修补。价格涵盖手术计划、术区准备、消毒、切开、成形、缝合、处理用物，必要时补片修补等步骤所需的人力资源和基本物质资源消耗。</t>
  </si>
  <si>
    <t>013308000590001</t>
  </si>
  <si>
    <t>主动脉瓣成形费-儿童（加收）</t>
  </si>
  <si>
    <t>013308000600000</t>
  </si>
  <si>
    <t>二尖瓣成形费</t>
  </si>
  <si>
    <t>通过手术对二尖瓣瓣膜进行修补。价格涵盖手术计划、术区准备、消毒、切开、成形、缝合、处理用物，必要时补片修补等步骤所需的人力资源和基本物质资源消耗。</t>
  </si>
  <si>
    <t>013308000600001</t>
  </si>
  <si>
    <t>二尖瓣成形费-儿童（加收）</t>
  </si>
  <si>
    <t>013308000600011</t>
  </si>
  <si>
    <t>二尖瓣成形费-微创手术（加收）</t>
  </si>
  <si>
    <t>013308000610000</t>
  </si>
  <si>
    <t>三尖瓣成形费</t>
  </si>
  <si>
    <t>通过手术对三尖瓣瓣膜进行修补。价格涵盖手术计划、术区准备、消毒、切开、成形、缝合、处理用物，必要时补片修补等步骤所需的人力资源和基本物质资源消耗。</t>
  </si>
  <si>
    <t>013308000610001</t>
  </si>
  <si>
    <t>三尖瓣成形费-儿童（加收）</t>
  </si>
  <si>
    <t>013308000610011</t>
  </si>
  <si>
    <t>三尖瓣成形费-微创手术（加收）</t>
  </si>
  <si>
    <t>013308000620000</t>
  </si>
  <si>
    <t>肺动脉瓣成形费</t>
  </si>
  <si>
    <t>通过手术对肺动脉瓣瓣膜进行修补。价格涵盖手术计划、术区准备、消毒、切开、成形、缝合、处理用物，必要时补片修补等步骤所需的人力资源和基本物质资源消耗。</t>
  </si>
  <si>
    <t>013308000620001</t>
  </si>
  <si>
    <t>肺动脉瓣成形费-儿童（加收）</t>
  </si>
  <si>
    <t>013308000630000</t>
  </si>
  <si>
    <t>主动脉瓣置换费</t>
  </si>
  <si>
    <t>通过手术对主动脉瓣瓣膜进行替换。价格涵盖手术计划、术区准备、消毒、切开、置换、缝合、处理用物，必要时补片修补等步骤所需的人力资源和基本物质资源消耗。</t>
  </si>
  <si>
    <t>013308000630001</t>
  </si>
  <si>
    <t>主动脉瓣置换费-儿童（加收）</t>
  </si>
  <si>
    <t>013308000630011</t>
  </si>
  <si>
    <t>主动脉瓣置换费-微创手术（加收）</t>
  </si>
  <si>
    <t>013308000630021</t>
  </si>
  <si>
    <t>主动脉瓣置换费-根部加宽（加收）</t>
  </si>
  <si>
    <t>013308000640000</t>
  </si>
  <si>
    <t>左室流出道扩大费</t>
  </si>
  <si>
    <t>通过手术对主动脉瓣瓣膜进行替换，同时通过补片扩大瓣环和流出道。价格涵盖手术计划、术区准备、消毒、切开、置换、补片扩大瓣环和流出道、缝合、处理用物等步骤所需的人力资源和基本物质资源消耗。</t>
  </si>
  <si>
    <t>013308000640001</t>
  </si>
  <si>
    <t>左室流出道扩大费-儿童（加收）</t>
  </si>
  <si>
    <t>013308000650000</t>
  </si>
  <si>
    <t>二尖瓣置换费</t>
  </si>
  <si>
    <t>通过手术对二尖瓣瓣膜进行替换。价格涵盖手术计划、术区准备、消毒、切开、置换、缝合、处理用物，必要时补片修补等步骤所需的人力资源和基本物质资源消耗。</t>
  </si>
  <si>
    <t>013308000650001</t>
  </si>
  <si>
    <t>二尖瓣置换费-儿童（加收）</t>
  </si>
  <si>
    <t>013308000650011</t>
  </si>
  <si>
    <t>二尖瓣置换费-微创手术（加收）</t>
  </si>
  <si>
    <t>013308000650021</t>
  </si>
  <si>
    <t>二尖瓣置换费-瓣环加宽（加收）</t>
  </si>
  <si>
    <t>013308000660000</t>
  </si>
  <si>
    <t>三尖瓣置换费</t>
  </si>
  <si>
    <t>通过手术对三尖瓣瓣膜进行替换。价格涵盖手术计划、术区准备、消毒、切开、置换、缝合、处理用物，必要时补片修补等步骤所需的人力资源和基本物质资源消耗。</t>
  </si>
  <si>
    <t>013308000660001</t>
  </si>
  <si>
    <t>三尖瓣置换费-儿童（加收）</t>
  </si>
  <si>
    <t>013308000670000</t>
  </si>
  <si>
    <t>肺动脉瓣置换费</t>
  </si>
  <si>
    <t>通过手术对肺动脉瓣瓣膜进行替换。价格涵盖手术计划、术区准备、消毒、切开、置换、缝合、处理用物，必要时补片修补等步骤所需的人力资源和基本物质资源消耗。</t>
  </si>
  <si>
    <t>013308000670001</t>
  </si>
  <si>
    <t>肺动脉瓣置换费-儿童（加收）</t>
  </si>
  <si>
    <t>013308000680000</t>
  </si>
  <si>
    <t>冠状动脉瘘修补费</t>
  </si>
  <si>
    <t>通过手术对冠状动脉瘘进行修补。价格涵盖手术计划、术区准备、消毒、切开、切断或缝合冠状动脉、缝合、处理用物等步骤所需的人力资源和基本物质资源消耗。</t>
  </si>
  <si>
    <t>013308000680001</t>
  </si>
  <si>
    <t>冠状动脉瘘修补费-儿童（加收）</t>
  </si>
  <si>
    <t>013308000690000</t>
  </si>
  <si>
    <t>冠脉异常起源矫治费</t>
  </si>
  <si>
    <t>通过手术治疗冠状动脉起源异常。价格涵盖手术计划、术区准备、消毒、切开、切除、吻合，修补、缝合、处理用物等步骤所需的人力资源和基本物质资源消耗。</t>
  </si>
  <si>
    <t>013308000690001</t>
  </si>
  <si>
    <t>冠脉异常起源矫治费-儿童（加收）</t>
  </si>
  <si>
    <t>013308000700000</t>
  </si>
  <si>
    <t>主动脉缩窄矫治费</t>
  </si>
  <si>
    <t>通过手术对主动脉缩窄进行矫治。价格涵盖手术计划、术区准备、消毒、切开、吻合、补片成形或人工血管置换，缝合、处理用物等步骤所需的人力资源和基本物质资源消耗。</t>
  </si>
  <si>
    <t>013308000700001</t>
  </si>
  <si>
    <t>主动脉缩窄矫治费-儿童（加收）</t>
  </si>
  <si>
    <t>013308000700011</t>
  </si>
  <si>
    <t>主动脉缩窄矫治费-主动脉弓中断矫治加收（加收）</t>
  </si>
  <si>
    <t>013308000710000</t>
  </si>
  <si>
    <t>主动脉弓成形费</t>
  </si>
  <si>
    <t>通过手术修复或重建主动脉弓。价格涵盖手术计划、术区准备、消毒、切开、成形、缝合、处理用物等步骤所需的人力资源和基本物质资源消耗。</t>
  </si>
  <si>
    <t>013308000710001</t>
  </si>
  <si>
    <t>主动脉弓成形费-儿童（加收）</t>
  </si>
  <si>
    <t>013308000720000</t>
  </si>
  <si>
    <t>主动脉弓置换费</t>
  </si>
  <si>
    <t>通过手术对主动脉部分弓进行替换。价格涵盖手术计划、术区准备、消毒、切开、人工血管和/或支架血管替换主动脉弓、缝合、处理用物等步骤所需的人力资源和基本物质资源消耗。</t>
  </si>
  <si>
    <t>013308000720001</t>
  </si>
  <si>
    <t>主动脉弓置换费-儿童（加收）</t>
  </si>
  <si>
    <t>013308000720011</t>
  </si>
  <si>
    <t>主动脉弓置换费-次全弓、全弓置换（加收）</t>
  </si>
  <si>
    <t>013308000730000</t>
  </si>
  <si>
    <t>主动脉血管环矫治费</t>
  </si>
  <si>
    <t>通过手术对主动脉血管环进行矫治。价格涵盖手术计划、术区准备、消毒、切开、切除、缝合、处理用物等步骤所需的人力资源和基本物质资源消耗。</t>
  </si>
  <si>
    <t>013308000730001</t>
  </si>
  <si>
    <t>主动脉血管环矫治费-儿童（加收）</t>
  </si>
  <si>
    <t>013308000740000</t>
  </si>
  <si>
    <t>主动脉根部替换费</t>
  </si>
  <si>
    <t>通过手术对主动脉根部进行替换。价格涵盖手术计划、术区准备、消毒、切开、人工或生物瓣膜及血管替换主动脉根部、吻合、缝合、处理用物，必要时补片修补等步骤所需的人力资源和基本物质资源消耗。</t>
  </si>
  <si>
    <t>013308000740001</t>
  </si>
  <si>
    <t>主动脉根部替换费-儿童（加收）</t>
  </si>
  <si>
    <t>013308000740011</t>
  </si>
  <si>
    <t>主动脉根部替换费-保留瓣膜手术（加收）</t>
  </si>
  <si>
    <t>013308000750000</t>
  </si>
  <si>
    <t>升主动脉替换费</t>
  </si>
  <si>
    <t>通过手术对升主动脉进行替换。价格涵盖手术计划、术区准备、消毒、切开、替换、缝合、处理用物，必要时补片修补等步骤所需的人力资源和基本物质资源消耗。</t>
  </si>
  <si>
    <t>013308000750001</t>
  </si>
  <si>
    <t>升主动脉替换费-儿童（加收）</t>
  </si>
  <si>
    <t>013308000750100</t>
  </si>
  <si>
    <t>升主动脉替换费-升主动脉成形（扩展）</t>
  </si>
  <si>
    <t>013308000751100</t>
  </si>
  <si>
    <t>升主动脉替换费-降主动脉替换（扩展）</t>
  </si>
  <si>
    <t>013308000760000</t>
  </si>
  <si>
    <t>全胸腹主动脉置换费</t>
  </si>
  <si>
    <t>通过手术对胸腹主动脉进行替换。价格涵盖手术计划、术区准备、消毒、切开、替换、缝合、处理用物，必要时补片修补等步骤所需的人力资源和基本物质资源消耗。</t>
  </si>
  <si>
    <t>013308000760001</t>
  </si>
  <si>
    <t>全胸腹主动脉置换费-儿童（加收）</t>
  </si>
  <si>
    <t>013308000770000</t>
  </si>
  <si>
    <t>主动脉窦瘤破裂修补费</t>
  </si>
  <si>
    <t>通过手术对破裂的主动脉窦瘤进行修补。价格涵盖手术计划、术区准备、消毒、切开、修补、缝合、处理用物等步骤所需的人力资源和基本物质资源消耗。</t>
  </si>
  <si>
    <t>013308000770001</t>
  </si>
  <si>
    <t>主动脉窦瘤破裂修补费-儿童（加收）</t>
  </si>
  <si>
    <t>013308000780000</t>
  </si>
  <si>
    <t>主肺动脉窗修补费</t>
  </si>
  <si>
    <t>通过手术对主肺动脉窗进行修补。价格涵盖手术计划、术区准备、消毒、切开、修补、缝合、处理用物等步骤所需的人力资源和基本物质资源消耗。</t>
  </si>
  <si>
    <t>013308000780001</t>
  </si>
  <si>
    <t>主肺动脉窗修补费-儿童（加收）</t>
  </si>
  <si>
    <t>013308000790000</t>
  </si>
  <si>
    <t>自体肺动脉瓣替换主动脉瓣费</t>
  </si>
  <si>
    <t>通过手术将患者主动脉辦替换为自身的肺动脉辦。价格涵盖手术计划、术区准备、消毒、切开、切除、吻合、缝合、处理用物等步骤所需的人力资源和基本物质资源消耗。</t>
  </si>
  <si>
    <t>013308000790001</t>
  </si>
  <si>
    <t>自体肺动脉瓣替换主动脉瓣费-儿童（加收）</t>
  </si>
  <si>
    <t>013308000800000</t>
  </si>
  <si>
    <t>双动脉根部调转费</t>
  </si>
  <si>
    <t>通过手术对主动脉及肺动脉根部进行调转。价格涵盖手术计划、术区准备、消毒、切开、主动脉瓣缝至肺动脉瓣、冠状动脉再植于主动脉根部、缝合、处理用物等步骤所需的人力资源和基本物质资源消耗。</t>
  </si>
  <si>
    <t>013308000800001</t>
  </si>
  <si>
    <t>双动脉根部调转费-儿童（加收）</t>
  </si>
  <si>
    <t>013308000810000</t>
  </si>
  <si>
    <t>共同动脉干矫治费</t>
  </si>
  <si>
    <t>通过手术将主动脉与肺动脉分离。价格涵盖手术计划、术区准备、消毒、切开、切下肺动脉、切开右心室、带瓣管道重建右心室和肺动脉连接、缝合、处理用物，必要时补片修补等步骤所需的人力资源和基本物质资源消耗。</t>
  </si>
  <si>
    <t>013308000810001</t>
  </si>
  <si>
    <t>共同动脉干矫治费-儿童（加收）</t>
  </si>
  <si>
    <t>013308000820000</t>
  </si>
  <si>
    <t>肺动脉成形费</t>
  </si>
  <si>
    <t>通过手术对肺动脉进行成形。价格涵盖手术计划、术区准备、消毒、切开、成形、缝合、处理用物等步骤所需的人力资源和基本物质资源消耗。</t>
  </si>
  <si>
    <t>013308000820001</t>
  </si>
  <si>
    <t>肺动脉成形费-儿童（加收）</t>
  </si>
  <si>
    <t>013308000830000</t>
  </si>
  <si>
    <t>肺动脉环缩费</t>
  </si>
  <si>
    <t>通过手术在肺动脉主干或分支周围缝绕一条环带。价格涵盖手术计划、术区准备、消毒、切开、环缩、缝合、处理用物等步骤所需的人力资源和基本物质资源消耗。</t>
  </si>
  <si>
    <t>013308000830001</t>
  </si>
  <si>
    <t>肺动脉环缩费-儿童（加收）</t>
  </si>
  <si>
    <t>013308000840000</t>
  </si>
  <si>
    <t>体肺动脉分流费</t>
  </si>
  <si>
    <t>通过手术建立分流通道，将体循环的血流引导至肺循环。价格涵盖手术计划、术区准备、消毒、切开、直接连接或人工血管连接动脉、缝合、处理用物等步骤所需的人力资源和基本物质资源消耗。</t>
  </si>
  <si>
    <t>013308000840001</t>
  </si>
  <si>
    <t>体肺动脉分流费-儿童（加收）</t>
  </si>
  <si>
    <t>013308000850000</t>
  </si>
  <si>
    <t>肺动脉闭锁矫治费</t>
  </si>
  <si>
    <t>通过手术对肺动脉闭锁进行矫治。价格涵盖手术计划、术区准备、消毒、切开、建立隧道或带瓣管道连接、缝合、处理用物等步骤所需的人力资源和基本物质资源消耗。</t>
  </si>
  <si>
    <t>不与“肺动脉成形费”同时收取。</t>
  </si>
  <si>
    <t>013308000850001</t>
  </si>
  <si>
    <t>肺动脉闭锁矫治费-儿童（加收）</t>
  </si>
  <si>
    <t>013308000860000</t>
  </si>
  <si>
    <t>肺动脉吊带矫治费</t>
  </si>
  <si>
    <t>通过手术对肺动脉吊带进行矫治。价格涵盖手术计划、术区准备、消毒、切开、矫治、缝合、处理用物等步骤所需的人力资源和基本物质资源消耗。</t>
  </si>
  <si>
    <t>013308000860001</t>
  </si>
  <si>
    <t>肺动脉吊带矫治费-儿童（加收）</t>
  </si>
  <si>
    <t>013308000870000</t>
  </si>
  <si>
    <t>体静脉肺动脉吻合费</t>
  </si>
  <si>
    <t>通过手术将体静脉与肺动脉进行吻合。价格涵盖手术计划、术区准备、消毒、切开、切断、吻合、缝合、处理用物等步骤所需的人力资源和基本物质资源消耗。</t>
  </si>
  <si>
    <t>013308000870001</t>
  </si>
  <si>
    <t>体静脉肺动脉吻合费-儿童（加收）</t>
  </si>
  <si>
    <t>013308000870011</t>
  </si>
  <si>
    <t>体静脉肺动脉吻合费-双侧吻合（加收）</t>
  </si>
  <si>
    <t>013308000870012</t>
  </si>
  <si>
    <t>体静脉肺动脉吻合费-全腔吻合（加收）</t>
  </si>
  <si>
    <t>013308000880000</t>
  </si>
  <si>
    <t>体肺侧枝血管闭合费</t>
  </si>
  <si>
    <t>通过手术对异常的体肺侧枝进行结扎。价格涵盖手术计划、术区准备、消毒、切开、结扎、缝合、处理用物等步骤所需的人力资源和基本物质资源消耗。</t>
  </si>
  <si>
    <t>013308000880001</t>
  </si>
  <si>
    <t>体肺侧枝血管闭合费-儿童（加收）</t>
  </si>
  <si>
    <t>013308000890000</t>
  </si>
  <si>
    <t>部分型肺静脉畸形矫治费</t>
  </si>
  <si>
    <t>通过手术对部分型肺静脉畸形进行治疗。价格涵盖手术计划、术区准备、消毒、切开、肺静脉连接至上腔静脉、修补房间隔缺损、缝合、处理用物等步骤所需的人力资源和基本物质资源消耗。</t>
  </si>
  <si>
    <t>单纯房间隔补片修补按“房间隔缺损修补费”收取。</t>
  </si>
  <si>
    <t>013308000890001</t>
  </si>
  <si>
    <t>部分型肺静脉畸形矫治费-儿童（加收）</t>
  </si>
  <si>
    <t>013308000890011</t>
  </si>
  <si>
    <t>部分型肺静脉畸形矫治费-上腔静脉-右心房连接重建（加收）</t>
  </si>
  <si>
    <t>013308000900000</t>
  </si>
  <si>
    <t>完全型肺静脉畸形矫治费</t>
  </si>
  <si>
    <t>通过手术对完全型肺静脉畸形进行治疗。价格涵盖手术计划、术区准备、消毒、切开、肺静脉连接左心房、缝合、处理用物等步骤所需的人力资源和基本物质资源消耗。</t>
  </si>
  <si>
    <t>013308000900001</t>
  </si>
  <si>
    <t>完全型肺静脉畸形矫治费-儿童（加收）</t>
  </si>
  <si>
    <t>013308000900011</t>
  </si>
  <si>
    <t>完全型肺静脉畸形矫治费-无内膜接触缝合（加收）</t>
  </si>
  <si>
    <t>013308000910000</t>
  </si>
  <si>
    <t>肺动静脉瘘修补费</t>
  </si>
  <si>
    <t>通过手术对肺动/静脉瘘进行修补。价格涵盖手术计划、术区准备、消毒、切开、切断或缝合动脉/静脉瘘瘘孔、缝合、处理用物等步骤所需的人力资源和基本物质资源消耗。</t>
  </si>
  <si>
    <t>013308000910001</t>
  </si>
  <si>
    <t>肺动静脉瘘修补费-儿童（加收）</t>
  </si>
  <si>
    <t>013308000920000</t>
  </si>
  <si>
    <t>肺静脉狭窄矫治费</t>
  </si>
  <si>
    <t>通过手术对肺静脉狭窄进行矫治。价格涵盖手术计划、术区准备、消毒、切开、矫治、缝合、处理用物等步骤所需的人力资源和基本物质资源消耗。</t>
  </si>
  <si>
    <t>013308000920001</t>
  </si>
  <si>
    <t>肺静脉狭窄矫治费-儿童（加收）</t>
  </si>
  <si>
    <t>013308000930000</t>
  </si>
  <si>
    <t>三尖瓣下移畸形矫治费</t>
  </si>
  <si>
    <t>通过手术对三尖瓣下移畸形进行矫正。价格涵盖手术计划、术区准备、消毒、切开、切除、重建、缝合、处理用物，必要时补片修补等步骤所需的人力资源和基本物质资源消耗。</t>
  </si>
  <si>
    <t>不与“三尖瓣成形费”同时收取。</t>
  </si>
  <si>
    <t>013308000930001</t>
  </si>
  <si>
    <t>三尖瓣下移畸形矫治费-儿童（加收）</t>
  </si>
  <si>
    <t>013308000940000</t>
  </si>
  <si>
    <t>瓣周漏修补费</t>
  </si>
  <si>
    <t>通过手术对人工瓣膜瓣周漏进行封闭或缩减。价格涵盖手术计划、术区准备、消毒、切开、缝合或堵闭瓣周漏、缝合、处理用物等步骤所需的人力资源和基本物质资源消耗。</t>
  </si>
  <si>
    <t>013308000940001</t>
  </si>
  <si>
    <t>瓣周漏修补费-儿童（加收）</t>
  </si>
  <si>
    <t>附件2</t>
  </si>
  <si>
    <t>辽宁省废止医疗服务价格项目信息表</t>
  </si>
  <si>
    <t>00310300001000000</t>
  </si>
  <si>
    <t>普通视力检查</t>
  </si>
  <si>
    <t>00310300002000000</t>
  </si>
  <si>
    <t>特殊视力检查</t>
  </si>
  <si>
    <t>00310300002010000</t>
  </si>
  <si>
    <t>儿童图形视力表视力检查</t>
  </si>
  <si>
    <t>00310300002020000</t>
  </si>
  <si>
    <t>点视力表视力检查</t>
  </si>
  <si>
    <t>00310300002030000</t>
  </si>
  <si>
    <t>条栅视力卡视力检查</t>
  </si>
  <si>
    <t>00310300002040000</t>
  </si>
  <si>
    <t>动性眼震仪视力检查</t>
  </si>
  <si>
    <t>00310300003000000</t>
  </si>
  <si>
    <t>选择性观看检查</t>
  </si>
  <si>
    <t>00310300004000000</t>
  </si>
  <si>
    <t>视网膜视力检查</t>
  </si>
  <si>
    <t>00310300006000000</t>
  </si>
  <si>
    <t>阿姆斯勒(Amsler)表检查</t>
  </si>
  <si>
    <t>00310300021000000</t>
  </si>
  <si>
    <t>对比敏感度检查</t>
  </si>
  <si>
    <t>00310300022000000</t>
  </si>
  <si>
    <t>暗适应测定</t>
  </si>
  <si>
    <t>00310300023000000</t>
  </si>
  <si>
    <t>明适应测定</t>
  </si>
  <si>
    <t>SX310300002000001</t>
  </si>
  <si>
    <t>对比视力表检查</t>
  </si>
  <si>
    <t>单眼</t>
  </si>
  <si>
    <t>00310300010000000</t>
  </si>
  <si>
    <t>主导眼检查</t>
  </si>
  <si>
    <t>00310300032000000</t>
  </si>
  <si>
    <t>低视力助视器试验</t>
  </si>
  <si>
    <t>00310300007000000</t>
  </si>
  <si>
    <t>验光</t>
  </si>
  <si>
    <t>00310300007010000</t>
  </si>
  <si>
    <t>检影</t>
  </si>
  <si>
    <t>00310300007020000</t>
  </si>
  <si>
    <t>散瞳</t>
  </si>
  <si>
    <t>00310300007040000</t>
  </si>
  <si>
    <t>试镜</t>
  </si>
  <si>
    <t>00310300007000001</t>
  </si>
  <si>
    <t>缩瞳</t>
  </si>
  <si>
    <t>00310300007030000</t>
  </si>
  <si>
    <t>云雾试验</t>
  </si>
  <si>
    <t>00310300009000000</t>
  </si>
  <si>
    <t>隐形眼镜配置</t>
  </si>
  <si>
    <t>00310300009000001</t>
  </si>
  <si>
    <t>角膜接触镜配置</t>
  </si>
  <si>
    <t>00310300027000000</t>
  </si>
  <si>
    <t>眼压检查</t>
  </si>
  <si>
    <t>00310300027010000</t>
  </si>
  <si>
    <t>眼压检查(Schiotz眼压计法)</t>
  </si>
  <si>
    <t>00310300027020000</t>
  </si>
  <si>
    <t>眼压检查(非接触眼压计法)</t>
  </si>
  <si>
    <t>00310300027030000</t>
  </si>
  <si>
    <t>眼压检查(电眼压计法)</t>
  </si>
  <si>
    <t>00310300027040000</t>
  </si>
  <si>
    <t>眼压检查(压平眼压计法)</t>
  </si>
  <si>
    <t>00310300028000000</t>
  </si>
  <si>
    <t>眼压日曲线检查</t>
  </si>
  <si>
    <t>00310300029000000</t>
  </si>
  <si>
    <t>眼压描记</t>
  </si>
  <si>
    <t>00310300037000000</t>
  </si>
  <si>
    <t>青光眼诱导试验</t>
  </si>
  <si>
    <t>00310300020000000</t>
  </si>
  <si>
    <t>色觉检查</t>
  </si>
  <si>
    <t>00310300020010000</t>
  </si>
  <si>
    <t>色觉检查(普通图谱法）</t>
  </si>
  <si>
    <t>00310300020020000</t>
  </si>
  <si>
    <t>色觉检查(FM-100Hue测试盒法)</t>
  </si>
  <si>
    <t>00310300020030000</t>
  </si>
  <si>
    <t>色觉检查(色觉仪法）</t>
  </si>
  <si>
    <t>00310300005000000</t>
  </si>
  <si>
    <t>视野检查</t>
  </si>
  <si>
    <t>00310300005000001</t>
  </si>
  <si>
    <t>微视野检查</t>
  </si>
  <si>
    <t>00310300005010000</t>
  </si>
  <si>
    <t>电脑视野检查</t>
  </si>
  <si>
    <t>00310300005020000</t>
  </si>
  <si>
    <t>动态(Goldmann)视野检查</t>
  </si>
  <si>
    <t>00310300035000000</t>
  </si>
  <si>
    <t>泪液分泌功能测定</t>
  </si>
  <si>
    <t>00310401033000000</t>
  </si>
  <si>
    <t>溢泪试验</t>
  </si>
  <si>
    <t>00310300034000000</t>
  </si>
  <si>
    <t>泪膜破裂时间测定</t>
  </si>
  <si>
    <t>00310300016000000</t>
  </si>
  <si>
    <t>黑氏(Hess)屏检查</t>
  </si>
  <si>
    <t>00310300012000000</t>
  </si>
  <si>
    <t>复视检查</t>
  </si>
  <si>
    <t>00310300015000000</t>
  </si>
  <si>
    <t>线状镜检查</t>
  </si>
  <si>
    <t>00310300013000000</t>
  </si>
  <si>
    <t>斜视度测定</t>
  </si>
  <si>
    <t>00310300014000000</t>
  </si>
  <si>
    <t>三棱镜检查</t>
  </si>
  <si>
    <t>00310300024000000</t>
  </si>
  <si>
    <t>正切尺检查</t>
  </si>
  <si>
    <t>00310300072000000</t>
  </si>
  <si>
    <t>马氏(Maddox)杆试验</t>
  </si>
  <si>
    <t>00310300040000000</t>
  </si>
  <si>
    <t>角膜地形图检查</t>
  </si>
  <si>
    <t>00310300042000000</t>
  </si>
  <si>
    <t>角膜厚度检查</t>
  </si>
  <si>
    <t>00310300042010000</t>
  </si>
  <si>
    <t>角膜厚度检查(裂隙灯法)</t>
  </si>
  <si>
    <t>00310300042020000</t>
  </si>
  <si>
    <t>角膜厚度检查(超声法)</t>
  </si>
  <si>
    <t>00310300039000000</t>
  </si>
  <si>
    <t>角膜曲率测量</t>
  </si>
  <si>
    <t>00310300071000000</t>
  </si>
  <si>
    <t>结膜印痕细胞检查</t>
  </si>
  <si>
    <t>00310300076000000</t>
  </si>
  <si>
    <t>角膜刮片检查</t>
  </si>
  <si>
    <t>00310300041000000</t>
  </si>
  <si>
    <t>角膜内皮镜检查</t>
  </si>
  <si>
    <t>00310300041000100</t>
  </si>
  <si>
    <t>角膜内皮镜检查加收</t>
  </si>
  <si>
    <t>00310300059000000</t>
  </si>
  <si>
    <t>海德堡视网膜厚度检查（HRT）</t>
  </si>
  <si>
    <t>00310300075000000</t>
  </si>
  <si>
    <t>眼活体组织检查</t>
  </si>
  <si>
    <t>00310300018000000</t>
  </si>
  <si>
    <t>牵拉试验</t>
  </si>
  <si>
    <t>00310300033000000</t>
  </si>
  <si>
    <t>上睑下垂检查</t>
  </si>
  <si>
    <t>00310300017000000</t>
  </si>
  <si>
    <t>调节/集合测定</t>
  </si>
  <si>
    <t>00310300019000000</t>
  </si>
  <si>
    <t>双眼视觉检查</t>
  </si>
  <si>
    <t>00310300062000000</t>
  </si>
  <si>
    <t>临界融合频率检查</t>
  </si>
  <si>
    <t>00310300051000000</t>
  </si>
  <si>
    <t>眼位照相</t>
  </si>
  <si>
    <t>00310300052000000</t>
  </si>
  <si>
    <t>眼前段照相</t>
  </si>
  <si>
    <t>00310300053000000</t>
  </si>
  <si>
    <t>眼底照相</t>
  </si>
  <si>
    <t>00310300057000000</t>
  </si>
  <si>
    <t>扫描激光眼底检查(SLO)</t>
  </si>
  <si>
    <t>00310300066000000</t>
  </si>
  <si>
    <t>视网膜地形图</t>
  </si>
  <si>
    <t>00310300055000000</t>
  </si>
  <si>
    <t>裂隙灯下眼底视神经立体照相</t>
  </si>
  <si>
    <t>00310300049000000</t>
  </si>
  <si>
    <t>裂隙灯下眼底检查</t>
  </si>
  <si>
    <t>00310300056000000</t>
  </si>
  <si>
    <t>眼底检查</t>
  </si>
  <si>
    <t>00310300056010000</t>
  </si>
  <si>
    <t>眼底检查(直接眼底镜法)</t>
  </si>
  <si>
    <t>00310300056020000</t>
  </si>
  <si>
    <t>眼底检查(间接眼底镜法)</t>
  </si>
  <si>
    <t>00310300058000000</t>
  </si>
  <si>
    <t>视网膜裂孔定位检查</t>
  </si>
  <si>
    <t>00310300058020000</t>
  </si>
  <si>
    <t>视网膜裂孔定位检查(双目间接检眼镜观察+巩膜加压法)</t>
  </si>
  <si>
    <t>00310300058010000</t>
  </si>
  <si>
    <t>视网膜裂孔定位检查(直接检眼镜观察+测算)</t>
  </si>
  <si>
    <t>00310300025000000</t>
  </si>
  <si>
    <t>注视性质检查</t>
  </si>
  <si>
    <t>00310300054000000</t>
  </si>
  <si>
    <t>眼底血管造影</t>
  </si>
  <si>
    <t>00310300054010000</t>
  </si>
  <si>
    <t>眼底荧光血管造影(FFA)</t>
  </si>
  <si>
    <t>00310300054020000</t>
  </si>
  <si>
    <t>靛青绿血管造影(ICGA)</t>
  </si>
  <si>
    <t>00310300061000000</t>
  </si>
  <si>
    <t>视网膜动脉压测定</t>
  </si>
  <si>
    <t>00310300065000000</t>
  </si>
  <si>
    <t>视网膜电流图（ERG）</t>
  </si>
  <si>
    <t>00310300065010000</t>
  </si>
  <si>
    <t>图形视网膜电图（P-ERG）</t>
  </si>
  <si>
    <t>00310300065020000</t>
  </si>
  <si>
    <t>多焦视网膜电图（m-ERG）</t>
  </si>
  <si>
    <t>00310300067000000</t>
  </si>
  <si>
    <t>眼电图(EOG)</t>
  </si>
  <si>
    <t>00310300068000000</t>
  </si>
  <si>
    <t>视诱发电位(VEP)</t>
  </si>
  <si>
    <t>SX310300068000001</t>
  </si>
  <si>
    <t>多焦视诱发电位（VEP）</t>
  </si>
  <si>
    <t>00310300030000000</t>
  </si>
  <si>
    <t>眼球突出度测量</t>
  </si>
  <si>
    <t>00310300030010000</t>
  </si>
  <si>
    <t>眼球突出度测量(米尺测量法)</t>
  </si>
  <si>
    <t>00310300030020000</t>
  </si>
  <si>
    <t>眼球突出度测量(眼球突出计测量法)</t>
  </si>
  <si>
    <t>00310300069000000</t>
  </si>
  <si>
    <t>眼外肌功能检查</t>
  </si>
  <si>
    <t>00310300070000000</t>
  </si>
  <si>
    <t>眼肌力检查</t>
  </si>
  <si>
    <t>00310300026000000</t>
  </si>
  <si>
    <t>眼象差检查</t>
  </si>
  <si>
    <t>00310300045000000</t>
  </si>
  <si>
    <t>人工晶体度数测量</t>
  </si>
  <si>
    <t>00310401021000000</t>
  </si>
  <si>
    <t>眼震电图</t>
  </si>
  <si>
    <t>00310401021010000</t>
  </si>
  <si>
    <t>眼震电图(温度试验)</t>
  </si>
  <si>
    <t>00310401021020000</t>
  </si>
  <si>
    <t>眼震电图(自发眼震)</t>
  </si>
  <si>
    <t>00310300011000000</t>
  </si>
  <si>
    <t>代偿头位测定</t>
  </si>
  <si>
    <t>00310300050000000</t>
  </si>
  <si>
    <t>裂隙灯下房角镜检查</t>
  </si>
  <si>
    <t>00310300048000000</t>
  </si>
  <si>
    <t>裂隙灯检查</t>
  </si>
  <si>
    <t>00310300044000000</t>
  </si>
  <si>
    <t>巩膜透照检查</t>
  </si>
  <si>
    <t>00310300046000000</t>
  </si>
  <si>
    <t>前房深度测量</t>
  </si>
  <si>
    <t>00310300046010000</t>
  </si>
  <si>
    <t>前房深度测量(裂隙灯法)</t>
  </si>
  <si>
    <t>00310300046020000</t>
  </si>
  <si>
    <t>前房深度测量(前房深度测量仪法)</t>
  </si>
  <si>
    <t>00310300063000000</t>
  </si>
  <si>
    <t>超声生物显微镜检查(UBM)</t>
  </si>
  <si>
    <t>00310300064000000</t>
  </si>
  <si>
    <t>光学相干断层成相(OCT)</t>
  </si>
  <si>
    <t>00310300031000000</t>
  </si>
  <si>
    <t>青光眼视网膜神经纤维层计算机图象分析</t>
  </si>
  <si>
    <t>00310300031000100</t>
  </si>
  <si>
    <t>青光眼视网膜神经纤维层计算机图象分析+定量分析</t>
  </si>
  <si>
    <t>00310300094000000</t>
  </si>
  <si>
    <t>球结膜下注射</t>
  </si>
  <si>
    <t>00310300095000000</t>
  </si>
  <si>
    <t>球后注射</t>
  </si>
  <si>
    <t>单侧</t>
  </si>
  <si>
    <t>00310300095010000</t>
  </si>
  <si>
    <t>球周半球后注射</t>
  </si>
  <si>
    <t>00310300095020000</t>
  </si>
  <si>
    <t>球旁注射</t>
  </si>
  <si>
    <t>00310300096000000</t>
  </si>
  <si>
    <t>眶上神经封闭</t>
  </si>
  <si>
    <t>00310300087000000</t>
  </si>
  <si>
    <t>睑板腺按摩</t>
  </si>
  <si>
    <t>00310300092000000</t>
  </si>
  <si>
    <t>沙眼磨擦压挤术</t>
  </si>
  <si>
    <t>00310300036000000</t>
  </si>
  <si>
    <t>泪道冲洗</t>
  </si>
  <si>
    <t>00310300105000000</t>
  </si>
  <si>
    <t>泪小点扩张</t>
  </si>
  <si>
    <t>00310300106000000</t>
  </si>
  <si>
    <t>泪道探通术</t>
  </si>
  <si>
    <t>00310300106000100</t>
  </si>
  <si>
    <t>泪道探通术（激光）</t>
  </si>
  <si>
    <t>00310300088000000</t>
  </si>
  <si>
    <t>冲洗结膜囊</t>
  </si>
  <si>
    <t>00310300089000000</t>
  </si>
  <si>
    <t>睑结膜伪膜去除冲洗</t>
  </si>
  <si>
    <t>00310300091000000</t>
  </si>
  <si>
    <t>取结膜结石</t>
  </si>
  <si>
    <t>00310300102000000</t>
  </si>
  <si>
    <t>角膜异物剔除术</t>
  </si>
  <si>
    <t>00310300085010000</t>
  </si>
  <si>
    <t>拔倒睫</t>
  </si>
  <si>
    <t>00310300085000000</t>
  </si>
  <si>
    <t>电解倒睫</t>
  </si>
  <si>
    <t>00330409013000000</t>
  </si>
  <si>
    <t>眶内血肿穿刺术</t>
  </si>
  <si>
    <t>00310300100000000</t>
  </si>
  <si>
    <t>前房穿刺术</t>
  </si>
  <si>
    <t>00310300100010000</t>
  </si>
  <si>
    <t>前房冲洗术</t>
  </si>
  <si>
    <t>00310300101000000</t>
  </si>
  <si>
    <t>前房注气术</t>
  </si>
  <si>
    <t>00330407001000000</t>
  </si>
  <si>
    <t>玻璃体穿刺抽液术</t>
  </si>
  <si>
    <t>00330407001010000</t>
  </si>
  <si>
    <t>玻璃体穿刺注药术</t>
  </si>
  <si>
    <t>00310300081000000</t>
  </si>
  <si>
    <t>激光治疗眼前节病</t>
  </si>
  <si>
    <t>00310300081000100</t>
  </si>
  <si>
    <t>多波长激光治疗眼前节病</t>
  </si>
  <si>
    <t>00310300084000000</t>
  </si>
  <si>
    <t>低功率氦-氖激光治疗</t>
  </si>
  <si>
    <t>00310300084010000</t>
  </si>
  <si>
    <t>温热激光治疗</t>
  </si>
  <si>
    <t>00310300080000000</t>
  </si>
  <si>
    <t>视网膜激光光凝术</t>
  </si>
  <si>
    <t>00330405010000000</t>
  </si>
  <si>
    <t>睫状体特殊治疗</t>
  </si>
  <si>
    <t>00310300104000000</t>
  </si>
  <si>
    <t>眼部冷冻治疗</t>
  </si>
  <si>
    <t>00330407013000000</t>
  </si>
  <si>
    <t>内眼病冷凝术</t>
  </si>
  <si>
    <t>00310300090000000</t>
  </si>
  <si>
    <t>晶体囊截开术</t>
  </si>
  <si>
    <t>00310300090000100</t>
  </si>
  <si>
    <t>晶体囊截开术（激光）</t>
  </si>
  <si>
    <t>00330405010000001</t>
  </si>
  <si>
    <t>睫状体光凝治疗</t>
  </si>
  <si>
    <t>00330405010000002</t>
  </si>
  <si>
    <t>睫状体冷凝治疗</t>
  </si>
  <si>
    <t>00330405010000003</t>
  </si>
  <si>
    <t>睫状体透热治疗</t>
  </si>
  <si>
    <t>00310300098000000</t>
  </si>
  <si>
    <t>协调器治疗</t>
  </si>
  <si>
    <t>00310300099000000</t>
  </si>
  <si>
    <t>后象治疗</t>
  </si>
  <si>
    <t>00310300107000000</t>
  </si>
  <si>
    <t>双眼单视功能训练</t>
  </si>
  <si>
    <t>00310300108000000</t>
  </si>
  <si>
    <t>弱视训练</t>
  </si>
  <si>
    <t>00330409010000000</t>
  </si>
  <si>
    <t>义眼安装</t>
  </si>
  <si>
    <t>00330402010000000</t>
  </si>
  <si>
    <t>泪小管填塞术</t>
  </si>
  <si>
    <t>00330402010010000</t>
  </si>
  <si>
    <t>泪小管封闭术</t>
  </si>
  <si>
    <t>21330402011000000</t>
  </si>
  <si>
    <t>泪道填塞术</t>
  </si>
  <si>
    <t>00330404004000000</t>
  </si>
  <si>
    <t>角膜拆线</t>
  </si>
  <si>
    <t>00310300082000000</t>
  </si>
  <si>
    <t>铒激光眼科手术</t>
  </si>
  <si>
    <t>00330406001000000</t>
  </si>
  <si>
    <t>白内障截囊吸取术</t>
  </si>
  <si>
    <t>00330406002000000</t>
  </si>
  <si>
    <t>白内障囊膜切除术</t>
  </si>
  <si>
    <t>00330406003000000</t>
  </si>
  <si>
    <t>白内障囊内摘除术</t>
  </si>
  <si>
    <t>00330406004000000</t>
  </si>
  <si>
    <t>白内障囊外摘除术</t>
  </si>
  <si>
    <t>00330406005000000</t>
  </si>
  <si>
    <t>白内障超声乳化摘除术</t>
  </si>
  <si>
    <t>00330406013000000</t>
  </si>
  <si>
    <t>白内障青光眼联合手术</t>
  </si>
  <si>
    <t>00330406014000000</t>
  </si>
  <si>
    <t>白内障摘除联合青光眼硅管植入术</t>
  </si>
  <si>
    <t>00330406015000000</t>
  </si>
  <si>
    <t>白内障囊外摘除联合青光眼人工晶体植入术</t>
  </si>
  <si>
    <t>00330406016000000</t>
  </si>
  <si>
    <t>穿透性角膜移植联合白内障囊外摘除及人工晶体植入术(三联术)</t>
  </si>
  <si>
    <t>00330406017000000</t>
  </si>
  <si>
    <t>白内障摘除联合玻璃体切割术</t>
  </si>
  <si>
    <t>00330406018000000</t>
  </si>
  <si>
    <t>球内异物取出术联合晶体玻璃体切除及人工晶体植入术(四联术)</t>
  </si>
  <si>
    <t>00330406019000000</t>
  </si>
  <si>
    <t>非正常晶体手术</t>
  </si>
  <si>
    <t>00330406010000000</t>
  </si>
  <si>
    <t>白内障超声乳化摘除术+人工晶体植入术</t>
  </si>
  <si>
    <t>00330406006000000</t>
  </si>
  <si>
    <t>白内障囊外摘除+人工晶体植入术</t>
  </si>
  <si>
    <t>00330406012000000</t>
  </si>
  <si>
    <t>人工晶体取出术</t>
  </si>
  <si>
    <t>00330406009000000</t>
  </si>
  <si>
    <t>二期人工晶体植入术</t>
  </si>
  <si>
    <t>00330406020000000</t>
  </si>
  <si>
    <t>晶体张力环置入术</t>
  </si>
  <si>
    <t>00330406021000000</t>
  </si>
  <si>
    <t>人工晶体悬吊术</t>
  </si>
  <si>
    <t>00330406011000000</t>
  </si>
  <si>
    <t>人工晶体睫状沟固定术</t>
  </si>
  <si>
    <t>00330406008000001</t>
  </si>
  <si>
    <t>晶体眼人工晶体植入术</t>
  </si>
  <si>
    <t>00330406007000000</t>
  </si>
  <si>
    <t>人工晶体复位术</t>
  </si>
  <si>
    <t>00330407002000000</t>
  </si>
  <si>
    <t>玻璃体切除术</t>
  </si>
  <si>
    <t>00330407005050000</t>
  </si>
  <si>
    <t>硅油充填术</t>
  </si>
  <si>
    <t>00330407005060000</t>
  </si>
  <si>
    <t>球内注气术</t>
  </si>
  <si>
    <t>00330407006000000</t>
  </si>
  <si>
    <t>黄斑裂孔注气术</t>
  </si>
  <si>
    <t>00330409030000000</t>
  </si>
  <si>
    <t>眼内肿物放射敷贴器取出术</t>
  </si>
  <si>
    <t>00330407014000000</t>
  </si>
  <si>
    <t>硅油取出术</t>
  </si>
  <si>
    <t>00330405013000000</t>
  </si>
  <si>
    <t>青光眼滤过术</t>
  </si>
  <si>
    <t>00330405016000000</t>
  </si>
  <si>
    <t>小梁切开联合小梁切除术</t>
  </si>
  <si>
    <t>00330405015000000</t>
  </si>
  <si>
    <t>小梁切开术</t>
  </si>
  <si>
    <t>00330405014000000</t>
  </si>
  <si>
    <t>非穿透性小梁切除＋透明质酸钠凝胶充填术</t>
  </si>
  <si>
    <t>00330405011000000</t>
  </si>
  <si>
    <t>前房角切开术</t>
  </si>
  <si>
    <t>00330405018000000</t>
  </si>
  <si>
    <t>青光眼滤帘修复术</t>
  </si>
  <si>
    <t>00330405019000000</t>
  </si>
  <si>
    <t>青光眼滤过泡分离术</t>
  </si>
  <si>
    <t>00330405020000000</t>
  </si>
  <si>
    <t>青光眼滤过泡修补术</t>
  </si>
  <si>
    <t>00330405017000000</t>
  </si>
  <si>
    <t>青光眼硅管植入术</t>
  </si>
  <si>
    <t>00330407004000000</t>
  </si>
  <si>
    <t>视网膜脱离修复术</t>
  </si>
  <si>
    <t>00330407005000000</t>
  </si>
  <si>
    <t>复杂视网膜脱离修复术</t>
  </si>
  <si>
    <t>00330407007000000</t>
  </si>
  <si>
    <t>黄斑裂孔封闭术</t>
  </si>
  <si>
    <t>00330407010000000</t>
  </si>
  <si>
    <t>黄斑转位术</t>
  </si>
  <si>
    <t>00330407008000000</t>
  </si>
  <si>
    <t>黄斑前膜术</t>
  </si>
  <si>
    <t>00330407005070000</t>
  </si>
  <si>
    <t>前膜剥膜术</t>
  </si>
  <si>
    <t>00330407009000000</t>
  </si>
  <si>
    <t>黄斑下膜取出术</t>
  </si>
  <si>
    <t>00310300101010000</t>
  </si>
  <si>
    <t>脉络膜上腔放液术</t>
  </si>
  <si>
    <t>00330405009000000</t>
  </si>
  <si>
    <t>睫状体及脉络膜上腔放液术</t>
  </si>
  <si>
    <t>00330407011000000</t>
  </si>
  <si>
    <t>色素膜肿物切除术</t>
  </si>
  <si>
    <t>00310300083000000</t>
  </si>
  <si>
    <t>钬激光巩膜切除手术</t>
  </si>
  <si>
    <t>00330405021000000</t>
  </si>
  <si>
    <t>巩膜缩短术</t>
  </si>
  <si>
    <t>00330407012000000</t>
  </si>
  <si>
    <t>巩膜后兜带术</t>
  </si>
  <si>
    <t>21330405022000000</t>
  </si>
  <si>
    <t>巩膜移植术</t>
  </si>
  <si>
    <t>00330405003000000</t>
  </si>
  <si>
    <t>虹膜根部离断修复术</t>
  </si>
  <si>
    <t>00330405006000000</t>
  </si>
  <si>
    <t>人工虹膜隔植入术</t>
  </si>
  <si>
    <t>00330405001000000</t>
  </si>
  <si>
    <t>虹膜全切除术</t>
  </si>
  <si>
    <t>00330405002000000</t>
  </si>
  <si>
    <t>虹膜周边切除术</t>
  </si>
  <si>
    <t>00330405004000000</t>
  </si>
  <si>
    <t>虹膜贯穿术</t>
  </si>
  <si>
    <t>00330405004000001</t>
  </si>
  <si>
    <t>虹膜粘连分离术</t>
  </si>
  <si>
    <t>00330405004000002</t>
  </si>
  <si>
    <t>虹膜粘连松解术</t>
  </si>
  <si>
    <t>00330405005000000</t>
  </si>
  <si>
    <t>虹膜囊肿切除术</t>
  </si>
  <si>
    <t>00330404013000000</t>
  </si>
  <si>
    <t>瞳孔再造术</t>
  </si>
  <si>
    <t>00330405011020000</t>
  </si>
  <si>
    <t>房角粘连分离术</t>
  </si>
  <si>
    <t>00330405012000000</t>
  </si>
  <si>
    <t>前房成形术</t>
  </si>
  <si>
    <t>00330401005000000</t>
  </si>
  <si>
    <t>睑下垂矫正联合眦整形术</t>
  </si>
  <si>
    <t>00330401010000000</t>
  </si>
  <si>
    <t>游离植皮睑成形术</t>
  </si>
  <si>
    <t>00330401007000000</t>
  </si>
  <si>
    <t>睑内翻矫正术</t>
  </si>
  <si>
    <t>00330401009000000</t>
  </si>
  <si>
    <t>睑裂缝合术</t>
  </si>
  <si>
    <t>00330401004000000</t>
  </si>
  <si>
    <t>上睑下垂矫正术</t>
  </si>
  <si>
    <t>00330401004000100</t>
  </si>
  <si>
    <t>上睑下垂矫正术（需肌瓣移植）</t>
  </si>
  <si>
    <t>00330401006010000</t>
  </si>
  <si>
    <t>上睑退缩矫正术</t>
  </si>
  <si>
    <t>00330401006010001</t>
  </si>
  <si>
    <t>上睑退缩矫正术（需睫毛再造）</t>
  </si>
  <si>
    <t>00330401006010002</t>
  </si>
  <si>
    <t>上睑退缩矫正术（需肌瓣移植）</t>
  </si>
  <si>
    <t>00330401006020000</t>
  </si>
  <si>
    <t>下睑退缩矫正术</t>
  </si>
  <si>
    <t>00330401006020001</t>
  </si>
  <si>
    <t>下睑退缩矫正术（需睫毛再造）</t>
  </si>
  <si>
    <t>00330401006020002</t>
  </si>
  <si>
    <t>下睑退缩矫正术（需肌瓣移植）</t>
  </si>
  <si>
    <t>00330401008000000</t>
  </si>
  <si>
    <t>睑外翻矫正术</t>
  </si>
  <si>
    <t>00330401008000100</t>
  </si>
  <si>
    <t>睑外翻矫正术（需植皮）</t>
  </si>
  <si>
    <t>00330401016000000</t>
  </si>
  <si>
    <t>内外眦成形术</t>
  </si>
  <si>
    <t>00330401011000000</t>
  </si>
  <si>
    <t>内眦赘皮矫治术</t>
  </si>
  <si>
    <t>00330401003000000</t>
  </si>
  <si>
    <t>内眦韧带断裂修复术</t>
  </si>
  <si>
    <t>00330404007000000</t>
  </si>
  <si>
    <t>翼状胬肉切除术</t>
  </si>
  <si>
    <t>00330404008000000</t>
  </si>
  <si>
    <t>翼状胬肉切除＋角膜移植术</t>
  </si>
  <si>
    <t>00330404008000100</t>
  </si>
  <si>
    <t>翼状胬肉切除＋角膜移植术（干细胞移植）</t>
  </si>
  <si>
    <t>00330402001000000</t>
  </si>
  <si>
    <t>泪阜部肿瘤单纯切除术</t>
  </si>
  <si>
    <t>00330403001000000</t>
  </si>
  <si>
    <t>睑球粘连分离术</t>
  </si>
  <si>
    <t>00330403001010000</t>
  </si>
  <si>
    <t>睑球自体粘膜移植术</t>
  </si>
  <si>
    <t>00330403001020000</t>
  </si>
  <si>
    <t>结膜移植术</t>
  </si>
  <si>
    <t>00330401018000000</t>
  </si>
  <si>
    <t>睑缘粘连术</t>
  </si>
  <si>
    <t>00330403004000000</t>
  </si>
  <si>
    <t>结膜囊成形术</t>
  </si>
  <si>
    <t>00330403007000000</t>
  </si>
  <si>
    <t>下穹窿成形术</t>
  </si>
  <si>
    <t>00330403002000000</t>
  </si>
  <si>
    <t>结膜肿物切除术</t>
  </si>
  <si>
    <t>00330403002000100</t>
  </si>
  <si>
    <t>结膜肿物切除术（组织移植）</t>
  </si>
  <si>
    <t>00330403002010000</t>
  </si>
  <si>
    <t>结膜色素痣切除术</t>
  </si>
  <si>
    <t>00330403002010001</t>
  </si>
  <si>
    <t>结膜色素痣切除术（组织移植）</t>
  </si>
  <si>
    <t>00330403003000000</t>
  </si>
  <si>
    <t>结膜淋巴管积液清除术</t>
  </si>
  <si>
    <t>00330403005000000</t>
  </si>
  <si>
    <t>球结膜瓣复盖术</t>
  </si>
  <si>
    <t>00330401002000000</t>
  </si>
  <si>
    <t>眼睑结膜裂伤缝合术</t>
  </si>
  <si>
    <t>00330401001000000</t>
  </si>
  <si>
    <t>眼睑肿物切除术</t>
  </si>
  <si>
    <t>00330401001000100</t>
  </si>
  <si>
    <t>眼睑肿物切除术（需植皮）</t>
  </si>
  <si>
    <t>00330403006000000</t>
  </si>
  <si>
    <t>麦粒肿切除术</t>
  </si>
  <si>
    <t>00330403006000001</t>
  </si>
  <si>
    <t>霰粒肿切除术</t>
  </si>
  <si>
    <t>00330403006010000</t>
  </si>
  <si>
    <t>麦粒肿切开术</t>
  </si>
  <si>
    <t>00330402005000000</t>
  </si>
  <si>
    <t>睑部泪腺摘除术</t>
  </si>
  <si>
    <t>00330402005010000</t>
  </si>
  <si>
    <t>睑部泪腺部分切除术</t>
  </si>
  <si>
    <t>00330402005020000</t>
  </si>
  <si>
    <t>睑部泪腺肿瘤摘除术</t>
  </si>
  <si>
    <t>00310300093000000</t>
  </si>
  <si>
    <t>眼部脓肿切开引流术</t>
  </si>
  <si>
    <t>00330409023000000</t>
  </si>
  <si>
    <t>眼前段重建术</t>
  </si>
  <si>
    <t>00330404011000000</t>
  </si>
  <si>
    <t>羊膜移植术</t>
  </si>
  <si>
    <t>00310300103000000</t>
  </si>
  <si>
    <t>角膜溃疡灼烙术</t>
  </si>
  <si>
    <t>SX310300004000000</t>
  </si>
  <si>
    <t>角膜上皮修复治疗</t>
  </si>
  <si>
    <t>SX310300005000000</t>
  </si>
  <si>
    <t>角膜基质注药术</t>
  </si>
  <si>
    <t>00330404007030000</t>
  </si>
  <si>
    <t>单纯角膜肿物切除术</t>
  </si>
  <si>
    <t>00330404008010000</t>
  </si>
  <si>
    <t>角膜肿物切除+角膜移植术</t>
  </si>
  <si>
    <t>00330404008010001</t>
  </si>
  <si>
    <t>角膜肿物切除+角膜移植术（干细胞移植）</t>
  </si>
  <si>
    <t>00330404001000000</t>
  </si>
  <si>
    <t>表层角膜镜片镶嵌术</t>
  </si>
  <si>
    <t>00330404002000000</t>
  </si>
  <si>
    <t>近视性放射状角膜切开术</t>
  </si>
  <si>
    <t>00310300078000000</t>
  </si>
  <si>
    <t>准分子激光屈光性角膜矫正术(PRK)</t>
  </si>
  <si>
    <t>00310300078010000</t>
  </si>
  <si>
    <t>准分子激光治疗性角膜矫正术(PTK)</t>
  </si>
  <si>
    <t>00310300079000000</t>
  </si>
  <si>
    <t>激光原位角膜磨镶术(LASIK)</t>
  </si>
  <si>
    <t>00310300079000001</t>
  </si>
  <si>
    <t>角膜上皮下激光原位磨镶术</t>
  </si>
  <si>
    <t>00310300079000002</t>
  </si>
  <si>
    <t>微型角膜刀法角膜上皮下激光原位磨镶术（EPI-LASIK）</t>
  </si>
  <si>
    <t>00310300079000003</t>
  </si>
  <si>
    <t>个体化切削准分子激光原位磨镶术</t>
  </si>
  <si>
    <t>00330404005000000</t>
  </si>
  <si>
    <t>角膜基质环植入术</t>
  </si>
  <si>
    <t>00330404003000000</t>
  </si>
  <si>
    <t>角膜缝环固定术</t>
  </si>
  <si>
    <t>00330404006000000</t>
  </si>
  <si>
    <t>角膜深层异物取出术</t>
  </si>
  <si>
    <t>00330405008000000</t>
  </si>
  <si>
    <t>睫状体断离复位术</t>
  </si>
  <si>
    <t>00330405007000000</t>
  </si>
  <si>
    <t>睫状体剥离术</t>
  </si>
  <si>
    <t>00330409019000000</t>
  </si>
  <si>
    <t>眼眶壁骨折整复术</t>
  </si>
  <si>
    <t>00330409020000000</t>
  </si>
  <si>
    <t>眶骨缺损修复术</t>
  </si>
  <si>
    <t>00330409021000000</t>
  </si>
  <si>
    <t>眶膈修补术</t>
  </si>
  <si>
    <t>00330409007000000</t>
  </si>
  <si>
    <t>眼内容摘除术</t>
  </si>
  <si>
    <t>00330409008000000</t>
  </si>
  <si>
    <t>眼球摘除术</t>
  </si>
  <si>
    <t>00330409009000000</t>
  </si>
  <si>
    <t>眼球摘除+植入术</t>
  </si>
  <si>
    <t>00330409015000000</t>
  </si>
  <si>
    <t>眶内容摘除术</t>
  </si>
  <si>
    <t>00330409016000000</t>
  </si>
  <si>
    <t>上颌骨切除合并眶内容摘除术</t>
  </si>
  <si>
    <t>00330409014000000</t>
  </si>
  <si>
    <t>眶内肿物摘除术</t>
  </si>
  <si>
    <t>00330409014010000</t>
  </si>
  <si>
    <t>眶内肿物前路摘除术</t>
  </si>
  <si>
    <t>00330409022000001</t>
  </si>
  <si>
    <t>眼眶脂肪脱垂修复术</t>
  </si>
  <si>
    <t>00330409014000001</t>
  </si>
  <si>
    <t>眶内肿物摘除术（侧劈开眶）</t>
  </si>
  <si>
    <t>00330409014020000</t>
  </si>
  <si>
    <t>眶尖部肿物摘除术</t>
  </si>
  <si>
    <t>00330409006000000</t>
  </si>
  <si>
    <t>甲状腺突眼矫正术</t>
  </si>
  <si>
    <t>00330409022000000</t>
  </si>
  <si>
    <t>眼眶减压术</t>
  </si>
  <si>
    <t>00330409024000000</t>
  </si>
  <si>
    <t>视神经减压术</t>
  </si>
  <si>
    <t>00330603006000000</t>
  </si>
  <si>
    <t>经鼻内镜眶减压术</t>
  </si>
  <si>
    <t>00330409004000000</t>
  </si>
  <si>
    <t>眶内异物取出术</t>
  </si>
  <si>
    <t>00310300073000000</t>
  </si>
  <si>
    <t>球内异物定位</t>
  </si>
  <si>
    <t>00330407003000000</t>
  </si>
  <si>
    <t>玻璃体内猪囊尾蚴取出术</t>
  </si>
  <si>
    <t>00330409001000000</t>
  </si>
  <si>
    <t>球内磁性异物取出术</t>
  </si>
  <si>
    <t>00330409002000000</t>
  </si>
  <si>
    <t>球内非磁性异物取出术</t>
  </si>
  <si>
    <t>00330409003000000</t>
  </si>
  <si>
    <t>球壁异物取出术</t>
  </si>
  <si>
    <t>00330409017000000</t>
  </si>
  <si>
    <t>眼窝填充术</t>
  </si>
  <si>
    <t>00330409012000000</t>
  </si>
  <si>
    <t>活动性义眼眼座植入术</t>
  </si>
  <si>
    <t>00330409011000000</t>
  </si>
  <si>
    <t>义眼台打孔术</t>
  </si>
  <si>
    <t>00330409018000000</t>
  </si>
  <si>
    <t>眼窝再造术</t>
  </si>
  <si>
    <t>00330402006000000</t>
  </si>
  <si>
    <t>泪囊结膜囊吻合术</t>
  </si>
  <si>
    <t>00330402003000000</t>
  </si>
  <si>
    <t>泪小管吻合术</t>
  </si>
  <si>
    <t>00330402007000000</t>
  </si>
  <si>
    <t>鼻腔泪囊吻合术</t>
  </si>
  <si>
    <t>00330402007000100</t>
  </si>
  <si>
    <t>经鼻内镜鼻腔泪囊吻合术</t>
  </si>
  <si>
    <t>00330402008000000</t>
  </si>
  <si>
    <t>鼻泪道再通术</t>
  </si>
  <si>
    <t>00330402009000000</t>
  </si>
  <si>
    <t>泪道成形术</t>
  </si>
  <si>
    <t>00330402009000001</t>
  </si>
  <si>
    <t>泪道成形术（激光）</t>
  </si>
  <si>
    <t>00330402002000000</t>
  </si>
  <si>
    <t>泪小点外翻矫正术</t>
  </si>
  <si>
    <t>00330402004000000</t>
  </si>
  <si>
    <t>泪囊摘除术</t>
  </si>
  <si>
    <t>00330402004010000</t>
  </si>
  <si>
    <t>泪囊瘘管摘除术</t>
  </si>
  <si>
    <t>00330402002010000</t>
  </si>
  <si>
    <t>泪腺脱垂矫正术</t>
  </si>
  <si>
    <t>00330409005000000</t>
  </si>
  <si>
    <t>眼球裂伤缝合术</t>
  </si>
  <si>
    <t>00330409005010000</t>
  </si>
  <si>
    <t>角膜裂伤缝合术</t>
  </si>
  <si>
    <t>00330409005020000</t>
  </si>
  <si>
    <t>巩膜裂伤缝合术</t>
  </si>
  <si>
    <t>00330409005030000</t>
  </si>
  <si>
    <t>巩膜探查术</t>
  </si>
  <si>
    <t>00330408001000000</t>
  </si>
  <si>
    <t>共同性斜视矫正术</t>
  </si>
  <si>
    <t>次和一条肌肉</t>
  </si>
  <si>
    <t>00330408001000100</t>
  </si>
  <si>
    <t>共同性斜视矫正术加收</t>
  </si>
  <si>
    <t>00330408001000200</t>
  </si>
  <si>
    <t>共同性斜视矫正术多次手术再加收</t>
  </si>
  <si>
    <t>00330408002000000</t>
  </si>
  <si>
    <t>非共同性斜视矫正术</t>
  </si>
  <si>
    <t>00330408002000100</t>
  </si>
  <si>
    <t>非共同性斜视矫正术加收</t>
  </si>
  <si>
    <t>00330408002000200</t>
  </si>
  <si>
    <t>非共同性斜视矫正术多次手术再加收</t>
  </si>
  <si>
    <t>00330408003000000</t>
  </si>
  <si>
    <t>非常规眼外肌手术</t>
  </si>
  <si>
    <t>00330408003000100</t>
  </si>
  <si>
    <t>非常规眼外肌手术每增加一种手术加收</t>
  </si>
  <si>
    <t>00330408004000000</t>
  </si>
  <si>
    <t>眼震矫正术</t>
  </si>
  <si>
    <t>00330405011010000</t>
  </si>
  <si>
    <t>前房积血清除术</t>
  </si>
  <si>
    <t>00330403008000000</t>
  </si>
  <si>
    <t>球结膜放射状切开冲洗+减压术</t>
  </si>
  <si>
    <t>00330401015000000</t>
  </si>
  <si>
    <t>眼袋整形术</t>
  </si>
  <si>
    <t>双侧</t>
  </si>
  <si>
    <t>00330401015000100</t>
  </si>
  <si>
    <t>眼袋整形术（泪腺悬吊）</t>
  </si>
  <si>
    <t>00330401012000000</t>
  </si>
  <si>
    <t>重睑成形术</t>
  </si>
  <si>
    <t>00330401012000001</t>
  </si>
  <si>
    <t>重睑成形术（单侧）</t>
  </si>
  <si>
    <t>00330401012000002</t>
  </si>
  <si>
    <t>重睑成形术（缝线法）</t>
  </si>
  <si>
    <t>00330401012000003</t>
  </si>
  <si>
    <t>重睑成形术（缝线法）（单侧）</t>
  </si>
  <si>
    <t>00330401012000004</t>
  </si>
  <si>
    <t>重睑成形术（术后畸形修复）</t>
  </si>
  <si>
    <t>00330401012000005</t>
  </si>
  <si>
    <t>重睑成形术（术后畸形修复）（单侧）</t>
  </si>
  <si>
    <t>00330401013000000</t>
  </si>
  <si>
    <t>激光重睑整形术</t>
  </si>
  <si>
    <t>00330409025000000</t>
  </si>
  <si>
    <t>眶距增宽症整形术</t>
  </si>
  <si>
    <t>00330409026000000</t>
  </si>
  <si>
    <t>隆眉弓术</t>
  </si>
  <si>
    <t>00330409027000000</t>
  </si>
  <si>
    <t>眉畸形矫正术</t>
  </si>
  <si>
    <t>00330409028000000</t>
  </si>
  <si>
    <t>眉缺损修复术</t>
  </si>
  <si>
    <t>00330409028010000</t>
  </si>
  <si>
    <t>眉部分缺损复术</t>
  </si>
  <si>
    <t>00330409028020000</t>
  </si>
  <si>
    <t>眉全部缺损修复术</t>
  </si>
  <si>
    <t>00310701022000000</t>
  </si>
  <si>
    <t>心电监测</t>
  </si>
  <si>
    <t>00310701009000000</t>
  </si>
  <si>
    <t>心电监测电话传输</t>
  </si>
  <si>
    <t>00310701027000000</t>
  </si>
  <si>
    <t>指脉氧监测</t>
  </si>
  <si>
    <t>00310701028000000</t>
  </si>
  <si>
    <t>血氧饱和度监测</t>
  </si>
  <si>
    <t>00310701008000000</t>
  </si>
  <si>
    <t>遥测心电监护</t>
  </si>
  <si>
    <t>00310701001000000</t>
  </si>
  <si>
    <t>常规心电图检查</t>
  </si>
  <si>
    <t>00310701001000200</t>
  </si>
  <si>
    <t>十二通道常规心电图检查</t>
  </si>
  <si>
    <t>00310701001000300</t>
  </si>
  <si>
    <t>床旁心电图加收</t>
  </si>
  <si>
    <t>00310701001000400</t>
  </si>
  <si>
    <t>三通道常规心电图检查</t>
  </si>
  <si>
    <t>00310701005000000</t>
  </si>
  <si>
    <t>标测心电图</t>
  </si>
  <si>
    <t>00310701006000000</t>
  </si>
  <si>
    <t>体表窦房结心电图</t>
  </si>
  <si>
    <t>00310701012000000</t>
  </si>
  <si>
    <t>心电向量图</t>
  </si>
  <si>
    <t>00310701004000000</t>
  </si>
  <si>
    <t>频谱心电图</t>
  </si>
  <si>
    <t>003107010010005</t>
  </si>
  <si>
    <t>十五导联常规心电图检查</t>
  </si>
  <si>
    <t>00310701001000100</t>
  </si>
  <si>
    <t>常规心电图检查附加导联加收</t>
  </si>
  <si>
    <t>310701015000000</t>
  </si>
  <si>
    <t>心室晚电位</t>
  </si>
  <si>
    <t>00310701016000000</t>
  </si>
  <si>
    <t>心房晚电位</t>
  </si>
  <si>
    <t>00310701018000000</t>
  </si>
  <si>
    <t>心率变异性分析</t>
  </si>
  <si>
    <t>00310701018000100</t>
  </si>
  <si>
    <t>24小时心率变异性分析</t>
  </si>
  <si>
    <t>00310701010000000</t>
  </si>
  <si>
    <t>心电图踏车负荷试验</t>
  </si>
  <si>
    <t>00310701010010000</t>
  </si>
  <si>
    <t>心电图踏车负荷试验(二阶梯)</t>
  </si>
  <si>
    <t>00310701010020000</t>
  </si>
  <si>
    <t>心电图踏车负荷试验(平板运动试验)</t>
  </si>
  <si>
    <t>00310701011000000</t>
  </si>
  <si>
    <t>心电图药物负荷试验</t>
  </si>
  <si>
    <t>00310701003000000</t>
  </si>
  <si>
    <t>动态心电图</t>
  </si>
  <si>
    <t>00310701003000001</t>
  </si>
  <si>
    <t>数码采集3导加收</t>
  </si>
  <si>
    <t>310701003000002</t>
  </si>
  <si>
    <t>数码采集12导加收</t>
  </si>
  <si>
    <t>00310701007000000</t>
  </si>
  <si>
    <t>心电事件记录</t>
  </si>
  <si>
    <t>00310702015000000</t>
  </si>
  <si>
    <t>经食管心脏调搏术</t>
  </si>
  <si>
    <t>00310702014000000</t>
  </si>
  <si>
    <t>经食管心脏起搏术</t>
  </si>
  <si>
    <t>00310702023000000</t>
  </si>
  <si>
    <t>心腔三维标测术</t>
  </si>
  <si>
    <t>00310701017000000</t>
  </si>
  <si>
    <t>倾斜试验</t>
  </si>
  <si>
    <t>00310701021000000</t>
  </si>
  <si>
    <t>动态血压监测</t>
  </si>
  <si>
    <t>00310701021010000</t>
  </si>
  <si>
    <t>运动血压监测</t>
  </si>
  <si>
    <t>00310701030000000</t>
  </si>
  <si>
    <t>激光多普勒肢体血流测定</t>
  </si>
  <si>
    <t>00310702026000000</t>
  </si>
  <si>
    <t>肢体动脉节段性测压</t>
  </si>
  <si>
    <t>00310702025000000</t>
  </si>
  <si>
    <t>反射波增强指数</t>
  </si>
  <si>
    <t>00310702013000000</t>
  </si>
  <si>
    <t>体外经胸型心脏临时起搏术</t>
  </si>
  <si>
    <t>00310702016000000</t>
  </si>
  <si>
    <t>心脏电复律术</t>
  </si>
  <si>
    <t>00310702017000000</t>
  </si>
  <si>
    <t>心脏电除颤术</t>
  </si>
  <si>
    <t>00310702018000000</t>
  </si>
  <si>
    <t>体外自动心脏变律除颤术</t>
  </si>
  <si>
    <t>00310702018010000</t>
  </si>
  <si>
    <t>体外半自动心脏变律除颤术</t>
  </si>
  <si>
    <t>00310702001000000</t>
  </si>
  <si>
    <t>有创性血流动力学监测(床旁)</t>
  </si>
  <si>
    <t>00310702001000004</t>
  </si>
  <si>
    <t>连续心排血量测定(床旁)</t>
  </si>
  <si>
    <t>00310702002000000</t>
  </si>
  <si>
    <t>持续有创性血压监测</t>
  </si>
  <si>
    <t>00310701025000000</t>
  </si>
  <si>
    <t>动脉内压力监测</t>
  </si>
  <si>
    <t>00310701023000000</t>
  </si>
  <si>
    <t>心输出量测定</t>
  </si>
  <si>
    <t>00310701013000000</t>
  </si>
  <si>
    <t>心音图</t>
  </si>
  <si>
    <t>00310701014000000</t>
  </si>
  <si>
    <t>心阻抗图</t>
  </si>
  <si>
    <t>00310701019000000</t>
  </si>
  <si>
    <t>无创阻抗法心搏出量测定</t>
  </si>
  <si>
    <t>00310701020000000</t>
  </si>
  <si>
    <t>无创心功能监测</t>
  </si>
  <si>
    <t>每监测项目</t>
  </si>
  <si>
    <t>00310701020010000</t>
  </si>
  <si>
    <t>无创心功能监测(心血流图)</t>
  </si>
  <si>
    <t>00310701020020000</t>
  </si>
  <si>
    <t>无创心功能监测(心尖搏动图)</t>
  </si>
  <si>
    <t>00230500005000000</t>
  </si>
  <si>
    <t>心功能测定</t>
  </si>
  <si>
    <t>00310702001000001</t>
  </si>
  <si>
    <t>无创血流动力学监测(床旁)</t>
  </si>
  <si>
    <t>00310702019000000</t>
  </si>
  <si>
    <t>体外反搏治疗</t>
  </si>
  <si>
    <t>00310702010000000</t>
  </si>
  <si>
    <t>起搏器功能分析和随访</t>
  </si>
  <si>
    <t>00310702011000000</t>
  </si>
  <si>
    <t>起搏器程控功能检查</t>
  </si>
  <si>
    <t>00310702012000000</t>
  </si>
  <si>
    <t>起搏器胸壁刺激法检查</t>
  </si>
  <si>
    <t>00320500001000000</t>
  </si>
  <si>
    <t>冠状动脉造影术</t>
  </si>
  <si>
    <t>00320500010000000</t>
  </si>
  <si>
    <t>冠脉血管内窥镜检查术</t>
  </si>
  <si>
    <t>00320500001000001</t>
  </si>
  <si>
    <t>冠状动脉造影术（立即进行其他手术）</t>
  </si>
  <si>
    <t>00310702021010000</t>
  </si>
  <si>
    <t>左室造影术</t>
  </si>
  <si>
    <t>00320500001000100</t>
  </si>
  <si>
    <t>冠状动脉造影术+左心室造影</t>
  </si>
  <si>
    <t>00320500007000000</t>
  </si>
  <si>
    <t>冠脉血管内超声检查术(IVUS)</t>
  </si>
  <si>
    <t>00320500008000000</t>
  </si>
  <si>
    <t>冠状血管内多普勒血流测量术</t>
  </si>
  <si>
    <t>SX320500001000000</t>
  </si>
  <si>
    <t>冠脉光学相干断层扫描检查术（OCT）</t>
  </si>
  <si>
    <t>SX320500002000000</t>
  </si>
  <si>
    <t>冠脉血流储备分值检查（FFR）</t>
  </si>
  <si>
    <t>SX320500004000000</t>
  </si>
  <si>
    <t>血管定量血流分数检查术（QFR）</t>
  </si>
  <si>
    <t>00320500003000000</t>
  </si>
  <si>
    <t>经皮冠状动脉内支架置入术(STENT)</t>
  </si>
  <si>
    <t>00320500003000100</t>
  </si>
  <si>
    <t>经皮冠状动脉内支架置入术(STENT)加收</t>
  </si>
  <si>
    <t>每支血管</t>
  </si>
  <si>
    <t>00320500015000000</t>
  </si>
  <si>
    <t>冠脉内局部药物释放治疗术</t>
  </si>
  <si>
    <t>00320500005000001</t>
  </si>
  <si>
    <t>高速冠状动脉内膜旋磨术再行支架置入术加收</t>
  </si>
  <si>
    <t>00320500004010000</t>
  </si>
  <si>
    <t>经皮冠状动脉腔内激光成形术(ELCA)再行支架置入术加收</t>
  </si>
  <si>
    <t>00320500002000000</t>
  </si>
  <si>
    <t>经皮冠状动脉腔内成形术(PTCA)</t>
  </si>
  <si>
    <t>00320500002000100</t>
  </si>
  <si>
    <t>经皮冠状动脉腔内成形术(PTCA)加收</t>
  </si>
  <si>
    <t>00320500004000000</t>
  </si>
  <si>
    <t>经皮冠状动脉腔内激光成形术(ELCA)</t>
  </si>
  <si>
    <t>00320500004000100</t>
  </si>
  <si>
    <t>经皮冠状动脉腔内激光成形术(ELCA)加收</t>
  </si>
  <si>
    <t>00320500005000000</t>
  </si>
  <si>
    <t>高速冠状动脉内膜旋磨术</t>
  </si>
  <si>
    <t>00320500005000100</t>
  </si>
  <si>
    <t>高速冠状动脉内膜旋磨术加收</t>
  </si>
  <si>
    <t>00320500006000000</t>
  </si>
  <si>
    <t>定向冠脉内膜旋切术</t>
  </si>
  <si>
    <t>00320500006000100</t>
  </si>
  <si>
    <t>定向冠脉内膜旋切术加收</t>
  </si>
  <si>
    <t>00320500011000000</t>
  </si>
  <si>
    <t>经皮冠状动脉内溶栓术</t>
  </si>
  <si>
    <t>00320500013000000</t>
  </si>
  <si>
    <t>冠状动脉内超声溶栓术</t>
  </si>
  <si>
    <t>00320500009000000</t>
  </si>
  <si>
    <t>经皮主动脉气囊反搏动术(IABP)</t>
  </si>
  <si>
    <t>00330803023000000</t>
  </si>
  <si>
    <t>主动脉内球囊反搏置管术</t>
  </si>
  <si>
    <t>00320500009000001</t>
  </si>
  <si>
    <t>术后反搏动治疗</t>
  </si>
  <si>
    <t>00310702020000000</t>
  </si>
  <si>
    <t>右心导管检查术</t>
  </si>
  <si>
    <t>00310702021000000</t>
  </si>
  <si>
    <t>左心导管检查术</t>
  </si>
  <si>
    <t>00320400001000000</t>
  </si>
  <si>
    <t>经皮瓣膜球囊成形术</t>
  </si>
  <si>
    <t>每个瓣膜</t>
  </si>
  <si>
    <t>00320400001030000</t>
  </si>
  <si>
    <t>经皮主动脉瓣球囊成形术</t>
  </si>
  <si>
    <t>00320400001040000</t>
  </si>
  <si>
    <t>经皮肺动脉瓣球囊成形术</t>
  </si>
  <si>
    <t>00320400001010000</t>
  </si>
  <si>
    <t>经皮二尖瓣球囊成形术</t>
  </si>
  <si>
    <t>00320400001020000</t>
  </si>
  <si>
    <t>经皮三尖瓣球囊成形术</t>
  </si>
  <si>
    <t>SX320200001000000</t>
  </si>
  <si>
    <t>经皮主动脉瓣置换术</t>
  </si>
  <si>
    <t>00320400003000000</t>
  </si>
  <si>
    <t>先心病介入治疗</t>
  </si>
  <si>
    <t>00320400003010000</t>
  </si>
  <si>
    <t>动脉导管未闭介入治疗</t>
  </si>
  <si>
    <t>00320400003020000</t>
  </si>
  <si>
    <t>房室间隔缺损介入治疗</t>
  </si>
  <si>
    <t>21320400004000000</t>
  </si>
  <si>
    <t>左心耳封堵术</t>
  </si>
  <si>
    <t>00320500012000000</t>
  </si>
  <si>
    <t>经皮激光心肌血管重建术(PMR)</t>
  </si>
  <si>
    <t>00320500016000000</t>
  </si>
  <si>
    <t>肥厚型心肌病化学消融术</t>
  </si>
  <si>
    <t>00310702004000000</t>
  </si>
  <si>
    <t>射频消融术</t>
  </si>
  <si>
    <t>00330803015000000</t>
  </si>
  <si>
    <t>心脏异常传导束切断术</t>
  </si>
  <si>
    <t>00320400001050000</t>
  </si>
  <si>
    <t>房间隔穿刺术</t>
  </si>
  <si>
    <t>00310702003000000</t>
  </si>
  <si>
    <t>有创性心内电生理检查</t>
  </si>
  <si>
    <t>21310702023000000</t>
  </si>
  <si>
    <t>植入式心电记录器安置术</t>
  </si>
  <si>
    <t>21310702023000001</t>
  </si>
  <si>
    <t>植入式心电记录器取出术</t>
  </si>
  <si>
    <t>00310702007000000</t>
  </si>
  <si>
    <t>永久起搏器安置术(单腔)</t>
  </si>
  <si>
    <t>00310702007000001</t>
  </si>
  <si>
    <t>永久起搏器安置术(双腔)</t>
  </si>
  <si>
    <t>00310702007000002</t>
  </si>
  <si>
    <t>永久起搏器安置术(三腔)</t>
  </si>
  <si>
    <t>00310702009000000</t>
  </si>
  <si>
    <t>埋藏式心脏复律除颤器安置术</t>
  </si>
  <si>
    <t>00310702008000000</t>
  </si>
  <si>
    <t>永久起搏器更换术</t>
  </si>
  <si>
    <t>永久起搏器取出术</t>
  </si>
  <si>
    <t>00310702005000000</t>
  </si>
  <si>
    <t>临时起搏器安置术</t>
  </si>
  <si>
    <t>00310702006000000</t>
  </si>
  <si>
    <t>临时起搏器应用</t>
  </si>
  <si>
    <t>00330100017000000</t>
  </si>
  <si>
    <t>体外循环</t>
  </si>
  <si>
    <t>2小时</t>
  </si>
  <si>
    <t>00330100017000100</t>
  </si>
  <si>
    <t>体外循环加收</t>
  </si>
  <si>
    <t>1小时</t>
  </si>
  <si>
    <t>SX330100004000000</t>
  </si>
  <si>
    <t>备体外循环</t>
  </si>
  <si>
    <t>00330803025000000</t>
  </si>
  <si>
    <t>体外人工膜肺(ECMO)</t>
  </si>
  <si>
    <t>00330803026000000</t>
  </si>
  <si>
    <t>左右心室辅助循环</t>
  </si>
  <si>
    <t>00330803022000000</t>
  </si>
  <si>
    <t>左右心室辅助泵安装术</t>
  </si>
  <si>
    <t>00330803017000000</t>
  </si>
  <si>
    <t>心脏表面临时起搏器安置术</t>
  </si>
  <si>
    <t>SX310702001000005</t>
  </si>
  <si>
    <t>术中搭桥血流量监测</t>
  </si>
  <si>
    <t>00330802003000000</t>
  </si>
  <si>
    <t>冠状动脉搭桥术</t>
  </si>
  <si>
    <t>每支吻合血管</t>
  </si>
  <si>
    <t>00330802003000001</t>
  </si>
  <si>
    <t>冠状动脉搭桥术加收</t>
  </si>
  <si>
    <t>00330802004000000</t>
  </si>
  <si>
    <t>冠脉搭桥+换瓣术</t>
  </si>
  <si>
    <t>00330802004000001</t>
  </si>
  <si>
    <t>冠脉搭桥+换瓣术加收</t>
  </si>
  <si>
    <t>00330802004010000</t>
  </si>
  <si>
    <t>冠脉搭桥+瓣成形术</t>
  </si>
  <si>
    <t>00330802004010001</t>
  </si>
  <si>
    <t>冠脉搭桥+瓣成形术加收</t>
  </si>
  <si>
    <t>00330802005000000</t>
  </si>
  <si>
    <t>冠脉搭桥+人工血管置换术</t>
  </si>
  <si>
    <t>00330802005000001</t>
  </si>
  <si>
    <t>冠脉搭桥+人工血管置换术加收</t>
  </si>
  <si>
    <t>00330802006000000</t>
  </si>
  <si>
    <t>非体外循环冠状动脉搭桥术</t>
  </si>
  <si>
    <t>00330802006000001</t>
  </si>
  <si>
    <t>非体外循环冠状动脉搭桥术加收</t>
  </si>
  <si>
    <t>00330802007000000</t>
  </si>
  <si>
    <t>小切口冠状动脉搭桥术</t>
  </si>
  <si>
    <t>00330802007000001</t>
  </si>
  <si>
    <t>小切口冠状动脉搭桥术加收</t>
  </si>
  <si>
    <t>00330802008000000</t>
  </si>
  <si>
    <t>冠状动脉内膜切除术</t>
  </si>
  <si>
    <t>00330803011000000</t>
  </si>
  <si>
    <t>室壁瘤切除术</t>
  </si>
  <si>
    <t>00330803002000000</t>
  </si>
  <si>
    <t>心包剥脱术</t>
  </si>
  <si>
    <t>00330803003000000</t>
  </si>
  <si>
    <t>经胸腔镜心包部分切除术</t>
  </si>
  <si>
    <t>00330802013000000</t>
  </si>
  <si>
    <t>肺动脉栓塞摘除术</t>
  </si>
  <si>
    <t>00330803012000000</t>
  </si>
  <si>
    <t>左房血栓清除术</t>
  </si>
  <si>
    <t>00330803005000000</t>
  </si>
  <si>
    <t>心包开窗引流术</t>
  </si>
  <si>
    <t>21330000000000600</t>
  </si>
  <si>
    <t>胸腔镜加收</t>
  </si>
  <si>
    <t>00330803029000000</t>
  </si>
  <si>
    <t>心脏术后感染伤口清创引流术</t>
  </si>
  <si>
    <t>00330803004000000</t>
  </si>
  <si>
    <t>心包肿瘤切除术</t>
  </si>
  <si>
    <t>00330803009000000</t>
  </si>
  <si>
    <t>心脏良性肿瘤摘除术</t>
  </si>
  <si>
    <t>00330803009000100</t>
  </si>
  <si>
    <t>心脏多发良性肿瘤摘除术</t>
  </si>
  <si>
    <t>00330803010000000</t>
  </si>
  <si>
    <t>心脏恶性肿瘤摘除术</t>
  </si>
  <si>
    <t>00330803008000000</t>
  </si>
  <si>
    <t>心内异物取出术</t>
  </si>
  <si>
    <t>00330803008010000</t>
  </si>
  <si>
    <t>肺动脉内异物取出术</t>
  </si>
  <si>
    <t>00330803007000000</t>
  </si>
  <si>
    <t>心脏外伤修补术</t>
  </si>
  <si>
    <t>00330803031000000</t>
  </si>
  <si>
    <t>开胸心脏挤压术</t>
  </si>
  <si>
    <t>00330802024000000</t>
  </si>
  <si>
    <t>左室流出道狭窄疏通术</t>
  </si>
  <si>
    <t>00330803013000000</t>
  </si>
  <si>
    <t>左房折叠术</t>
  </si>
  <si>
    <t>00330803016000000</t>
  </si>
  <si>
    <t>迷宫手术(房颤矫治术)</t>
  </si>
  <si>
    <t>00330803016010000</t>
  </si>
  <si>
    <t>迷宫手术(房颤矫治术)（冷冻）</t>
  </si>
  <si>
    <t>00330803016010001</t>
  </si>
  <si>
    <t>迷宫手术(房颤矫治术)（电凝）</t>
  </si>
  <si>
    <t>00330803016020000</t>
  </si>
  <si>
    <t>迷宫手术(房颤矫治术)（心内直视射频消融术）</t>
  </si>
  <si>
    <t>00330801022000000</t>
  </si>
  <si>
    <t>法鲁氏三联症根治术</t>
  </si>
  <si>
    <t>00330801023000000</t>
  </si>
  <si>
    <t>法鲁氏四联症根治术(大)</t>
  </si>
  <si>
    <t>00330801024000000</t>
  </si>
  <si>
    <t>法鲁氏四联症根治术(中)</t>
  </si>
  <si>
    <t>00330801025000000</t>
  </si>
  <si>
    <t>法鲁氏四联症根治术(小)</t>
  </si>
  <si>
    <t>00330801026000000</t>
  </si>
  <si>
    <t>复合性先天性心脏畸形矫治术</t>
  </si>
  <si>
    <t>00330803027000000</t>
  </si>
  <si>
    <t>体外循环心脏不停跳心内直视手术</t>
  </si>
  <si>
    <t>00330801017000000</t>
  </si>
  <si>
    <t>房间隔缺损修补术</t>
  </si>
  <si>
    <t>00330801021000000</t>
  </si>
  <si>
    <t>卵园孔修补术</t>
  </si>
  <si>
    <t>00330801016000000</t>
  </si>
  <si>
    <t>房间隔造口术(Blabock-Hanlon手术)</t>
  </si>
  <si>
    <t>00330801016010000</t>
  </si>
  <si>
    <t>房间隔切除术</t>
  </si>
  <si>
    <t>00330802039000000</t>
  </si>
  <si>
    <t>内外通道矫治手术(Rastalli手术)</t>
  </si>
  <si>
    <t>00330802045000000</t>
  </si>
  <si>
    <t>外通道手术</t>
  </si>
  <si>
    <t>00330801018000000</t>
  </si>
  <si>
    <t>室间隔缺损直视修补术</t>
  </si>
  <si>
    <t>00330802041010000</t>
  </si>
  <si>
    <t>矫正型大动脉转位伴发畸形矫治术（室缺损修补术）</t>
  </si>
  <si>
    <t>每个部位</t>
  </si>
  <si>
    <t>00330801028000000</t>
  </si>
  <si>
    <t>单心室分隔术</t>
  </si>
  <si>
    <t>00330801019000000</t>
  </si>
  <si>
    <t>部分型心内膜垫缺损矫治术</t>
  </si>
  <si>
    <t>00330801020000000</t>
  </si>
  <si>
    <t>完全型心内膜垫缺损矫治术</t>
  </si>
  <si>
    <t>00330802014000000</t>
  </si>
  <si>
    <t>动脉导管闭合术</t>
  </si>
  <si>
    <t>00330802018000000</t>
  </si>
  <si>
    <t>右室双出口矫治术</t>
  </si>
  <si>
    <t>00330802036000000</t>
  </si>
  <si>
    <t>动脉调转术(Switch术)</t>
  </si>
  <si>
    <t>00330802037000000</t>
  </si>
  <si>
    <t>心房调转术</t>
  </si>
  <si>
    <t>00330801027000000</t>
  </si>
  <si>
    <t>三房心矫治术</t>
  </si>
  <si>
    <t>00330801007000000</t>
  </si>
  <si>
    <t>主动脉瓣上狭窄矫治术</t>
  </si>
  <si>
    <t>00330801008000000</t>
  </si>
  <si>
    <t>主动脉瓣直视成形术</t>
  </si>
  <si>
    <t>00330802041030000</t>
  </si>
  <si>
    <t>矫正型大动脉转位伴发畸形矫治术（左侧房室瓣成形术）</t>
  </si>
  <si>
    <t>00330801001000000</t>
  </si>
  <si>
    <t>二尖瓣闭式扩张术</t>
  </si>
  <si>
    <t>00330801002000000</t>
  </si>
  <si>
    <t>二尖瓣直视成形术</t>
  </si>
  <si>
    <t>00330803014000000</t>
  </si>
  <si>
    <t>左室减容术(Batista手术)</t>
  </si>
  <si>
    <t>00330801004000000</t>
  </si>
  <si>
    <t>三尖瓣直视成形术</t>
  </si>
  <si>
    <t>00330801012000000</t>
  </si>
  <si>
    <t>肺动脉瓣狭窄矫治术</t>
  </si>
  <si>
    <t>00330801009000000</t>
  </si>
  <si>
    <t>主动脉瓣置换术</t>
  </si>
  <si>
    <t>00330801013000000</t>
  </si>
  <si>
    <t>小切口瓣膜置换术</t>
  </si>
  <si>
    <t>00330801014000000</t>
  </si>
  <si>
    <t>双瓣置换术</t>
  </si>
  <si>
    <t>00330801014000100</t>
  </si>
  <si>
    <t>多瓣置换术</t>
  </si>
  <si>
    <t>00330802030000000</t>
  </si>
  <si>
    <t>升主动脉替换加主动脉瓣替换术(Wheat′s手术)</t>
  </si>
  <si>
    <t>00330802044000000</t>
  </si>
  <si>
    <t>科诺（Konno）手术</t>
  </si>
  <si>
    <t>00330801003000000</t>
  </si>
  <si>
    <t>二尖瓣替换术</t>
  </si>
  <si>
    <t>00330801005000000</t>
  </si>
  <si>
    <t>三尖瓣置换术</t>
  </si>
  <si>
    <t>00330801011000000</t>
  </si>
  <si>
    <t>肺动脉瓣置换术</t>
  </si>
  <si>
    <t>00330802001000000</t>
  </si>
  <si>
    <t>冠状动静脉瘘修补术</t>
  </si>
  <si>
    <t>00330802002000000</t>
  </si>
  <si>
    <t>冠状动脉起源异常矫治术</t>
  </si>
  <si>
    <t>00330802010000000</t>
  </si>
  <si>
    <t>冠状静脉窦无顶综合征矫治术</t>
  </si>
  <si>
    <t>00330802023000000</t>
  </si>
  <si>
    <t>主动脉缩窄矫治术</t>
  </si>
  <si>
    <t>00330802031000000</t>
  </si>
  <si>
    <t>主动脉弓中断矫治术</t>
  </si>
  <si>
    <t>00330802035000000</t>
  </si>
  <si>
    <t>主动脉弓降部瘤切除人工血管置换术</t>
  </si>
  <si>
    <t>00330802033000000</t>
  </si>
  <si>
    <t>主动脉弓置换术</t>
  </si>
  <si>
    <t>00330802034000000</t>
  </si>
  <si>
    <t>“象鼻子”技术</t>
  </si>
  <si>
    <t>00330802032000000</t>
  </si>
  <si>
    <t>先天性心脏病主动脉弓部血管环切断术</t>
  </si>
  <si>
    <t>00330802025000000</t>
  </si>
  <si>
    <t>主动脉根部替换术</t>
  </si>
  <si>
    <t>00330802026000000</t>
  </si>
  <si>
    <t>保留瓣膜的主动脉根部替换术</t>
  </si>
  <si>
    <t>00330802029000000</t>
  </si>
  <si>
    <t>升主动脉替换术</t>
  </si>
  <si>
    <t>00330802028000000</t>
  </si>
  <si>
    <t>主动脉窦瘤破裂修补术</t>
  </si>
  <si>
    <t>00330802015000000</t>
  </si>
  <si>
    <t>主肺动脉窗修补术</t>
  </si>
  <si>
    <t>00330801010000000</t>
  </si>
  <si>
    <t>自体肺动脉瓣替换主动脉瓣术(ROSS手术)</t>
  </si>
  <si>
    <t>00330802038000000</t>
  </si>
  <si>
    <t>双调转手术(Double Switch手术)</t>
  </si>
  <si>
    <t>00330802041000000</t>
  </si>
  <si>
    <t>矫正型大动脉转位伴发畸形矫治术</t>
  </si>
  <si>
    <t>00330802041020000</t>
  </si>
  <si>
    <t>矫正型大动脉转位伴发畸形矫治术（肺动脉狭窄疏通术）</t>
  </si>
  <si>
    <t>00330802042000000</t>
  </si>
  <si>
    <t>永存动脉干修复术</t>
  </si>
  <si>
    <t>00330802012000000</t>
  </si>
  <si>
    <t>肺动脉环缩术</t>
  </si>
  <si>
    <t>00330802016000000</t>
  </si>
  <si>
    <t>先天性心脏病体肺动脉分流术</t>
  </si>
  <si>
    <t>00330802019000000</t>
  </si>
  <si>
    <t>肺动脉闭锁矫治术</t>
  </si>
  <si>
    <t>00330802011000000</t>
  </si>
  <si>
    <t>上腔静脉肺动脉吻合术(双向Glenn)</t>
  </si>
  <si>
    <t>每侧</t>
  </si>
  <si>
    <t>00330802040000000</t>
  </si>
  <si>
    <t>房坦型手术(Fontan Type手术)</t>
  </si>
  <si>
    <t>00330802017000000</t>
  </si>
  <si>
    <t>全腔肺动脉吻合术</t>
  </si>
  <si>
    <t>00330802020000000</t>
  </si>
  <si>
    <t>部分型肺静脉畸形引流矫治术</t>
  </si>
  <si>
    <t>00330802022000000</t>
  </si>
  <si>
    <t>体静脉引流入肺静脉侧心房矫治术</t>
  </si>
  <si>
    <t>00330802021000000</t>
  </si>
  <si>
    <t>完全型肺静脉畸形引流矫治术</t>
  </si>
  <si>
    <t>00330802009000000</t>
  </si>
  <si>
    <t>肺动静脉瘘结扎术</t>
  </si>
  <si>
    <t>00330801006000000</t>
  </si>
  <si>
    <t>三尖瓣下移畸形矫治术(Ebstein畸形矫治术)</t>
  </si>
  <si>
    <t>00330801015000000</t>
  </si>
  <si>
    <t>瓣周漏修补术</t>
  </si>
  <si>
    <t>00330803018000000</t>
  </si>
  <si>
    <t>激光心肌打孔术</t>
  </si>
  <si>
    <t>每孔次</t>
  </si>
  <si>
    <t>00330803019000000</t>
  </si>
  <si>
    <t>骨骼肌心脏包裹成形术</t>
  </si>
  <si>
    <t>00310522001000000</t>
  </si>
  <si>
    <t>乳牙期安氏I类错合正畸治疗</t>
  </si>
  <si>
    <t>00310522005000000</t>
  </si>
  <si>
    <t>乳牙期安氏II类错合正畸治疗</t>
  </si>
  <si>
    <t>00310507003000000</t>
  </si>
  <si>
    <t>固定矫治器复诊处置</t>
  </si>
  <si>
    <t>00310507003000001</t>
  </si>
  <si>
    <t>固定矫治器复诊处置（18岁以上）</t>
  </si>
  <si>
    <t>00310507004000000</t>
  </si>
  <si>
    <t>活动矫治器复诊处置</t>
  </si>
  <si>
    <t>00310507004000001</t>
  </si>
  <si>
    <t>活动矫治器复诊处置（18岁以上）</t>
  </si>
  <si>
    <t>00310507005000000</t>
  </si>
  <si>
    <t>功能矫治器复诊处置</t>
  </si>
  <si>
    <t>00310507005000001</t>
  </si>
  <si>
    <t>功能矫治器复诊处置（18岁以上）</t>
  </si>
  <si>
    <t>00310507006000000</t>
  </si>
  <si>
    <t>特殊矫治器复诊处置</t>
  </si>
  <si>
    <t>00310507006000001</t>
  </si>
  <si>
    <t>特殊矫治器复诊处置（18岁以上）</t>
  </si>
  <si>
    <t>00310507006000100</t>
  </si>
  <si>
    <t>特殊矫治器复诊处置（使用舌侧矫正器）</t>
  </si>
  <si>
    <t>00310507006000101</t>
  </si>
  <si>
    <t>特殊矫治器复诊处置（使用舌侧矫正器）（18岁以上）</t>
  </si>
  <si>
    <t>00310507006010000</t>
  </si>
  <si>
    <t>推杆式矫治器复诊处置</t>
  </si>
  <si>
    <t>00310507006010001</t>
  </si>
  <si>
    <t>推杆式矫治器复诊处置（18岁以上）</t>
  </si>
  <si>
    <t>00310512005000000</t>
  </si>
  <si>
    <t>制戴固定式缺隙保持器</t>
  </si>
  <si>
    <t>00310512006000000</t>
  </si>
  <si>
    <t>制戴活动式缺隙保持器</t>
  </si>
  <si>
    <t>00310512007000000</t>
  </si>
  <si>
    <t>制戴活动矫正器</t>
  </si>
  <si>
    <t>SX310501001000000</t>
  </si>
  <si>
    <t>计算机辅助诊断分析及排牙</t>
  </si>
  <si>
    <t>SX310522001000000</t>
  </si>
  <si>
    <t>计算机辅助正畸数字模型制备</t>
  </si>
  <si>
    <t>单颌</t>
  </si>
  <si>
    <t>SX310522002000000</t>
  </si>
  <si>
    <t>隐形矫治治疗</t>
  </si>
  <si>
    <t>SX310522002010000</t>
  </si>
  <si>
    <t>隐形矫治器制作</t>
  </si>
  <si>
    <t>SX310522002020000</t>
  </si>
  <si>
    <t>隐形矫治治疗（简单）</t>
  </si>
  <si>
    <t>疗程</t>
  </si>
  <si>
    <t>SX310522002030000</t>
  </si>
  <si>
    <t>隐形矫治治疗（一般）</t>
  </si>
  <si>
    <t>SX310522002040000</t>
  </si>
  <si>
    <t>隐形矫治治疗（复杂）</t>
  </si>
  <si>
    <t>SX310522002050000</t>
  </si>
  <si>
    <t>隐形矫治治疗保持器制作</t>
  </si>
  <si>
    <t>付</t>
  </si>
  <si>
    <t>00310522013000000</t>
  </si>
  <si>
    <t>乳牙期安氏III类错合正畸治疗</t>
  </si>
  <si>
    <t>00310522022000000</t>
  </si>
  <si>
    <t>早期颜面不对称正畸治疗</t>
  </si>
  <si>
    <t>00310522024000000</t>
  </si>
  <si>
    <t>颅面畸形正畸治疗</t>
  </si>
  <si>
    <t>00310522024000001</t>
  </si>
  <si>
    <t>颅面畸形正畸治疗（18岁以上）</t>
  </si>
  <si>
    <t>00310522021000000</t>
  </si>
  <si>
    <t>单侧唇腭裂序列正畸治疗</t>
  </si>
  <si>
    <t>00310522021000001</t>
  </si>
  <si>
    <t>单侧唇腭裂序列正畸治疗（18岁以上）</t>
  </si>
  <si>
    <t>00310521001000000</t>
  </si>
  <si>
    <t>腭护板导板矫治</t>
  </si>
  <si>
    <t>00310521001000100</t>
  </si>
  <si>
    <t>腭护板导板矫治加放射治疗装置加收</t>
  </si>
  <si>
    <t>00310521001000200</t>
  </si>
  <si>
    <t>腭护板导板矫治间接法制作加收</t>
  </si>
  <si>
    <t>00310522002000000</t>
  </si>
  <si>
    <t>替牙期安氏I类错合活动矫治器正畸治疗</t>
  </si>
  <si>
    <t>00310522003000000</t>
  </si>
  <si>
    <t>替牙期安氏I类错合固定矫治器正畸治疗</t>
  </si>
  <si>
    <t>00310522028000000</t>
  </si>
  <si>
    <t>正畸保持器治疗</t>
  </si>
  <si>
    <t>每付</t>
  </si>
  <si>
    <t>00310522028000001</t>
  </si>
  <si>
    <t>正畸保持器治疗（18岁以上）</t>
  </si>
  <si>
    <t>00310507007000000</t>
  </si>
  <si>
    <t>错合畸形正中合位检查</t>
  </si>
  <si>
    <t>00310507007000001</t>
  </si>
  <si>
    <t>错合畸形正中合位检查（18岁以上）</t>
  </si>
  <si>
    <t>00310522020000000</t>
  </si>
  <si>
    <t>合创伤正畸治疗</t>
  </si>
  <si>
    <t>00310522020000001</t>
  </si>
  <si>
    <t>合创伤正畸治疗（18岁以上）</t>
  </si>
  <si>
    <t>00310522025000000</t>
  </si>
  <si>
    <t>颞下颌关节病正畸治疗</t>
  </si>
  <si>
    <t>00310522025000001</t>
  </si>
  <si>
    <t>颞下颌关节病正畸治疗（18岁以上）</t>
  </si>
  <si>
    <t>00310522006000000</t>
  </si>
  <si>
    <t>替牙期安氏II类错合口腔不良习惯正畸治疗</t>
  </si>
  <si>
    <t>00310522007000000</t>
  </si>
  <si>
    <t>替牙期牙性安氏II类错合活动矫治器正畸治疗</t>
  </si>
  <si>
    <t>00310522008000000</t>
  </si>
  <si>
    <t>替牙期牙性安氏II类错合固定矫治器正畸治疗</t>
  </si>
  <si>
    <t>00310522009000000</t>
  </si>
  <si>
    <t>替牙期骨性安氏II类错合正畸治疗</t>
  </si>
  <si>
    <t>00310522014000000</t>
  </si>
  <si>
    <t>替牙期安氏III类错合正畸治疗</t>
  </si>
  <si>
    <t>00310522015000000</t>
  </si>
  <si>
    <t>替牙期安氏III类错合功能矫治器治疗</t>
  </si>
  <si>
    <t>00310522018000000</t>
  </si>
  <si>
    <t>牙周病伴错合畸形活动矫治器正畸治疗</t>
  </si>
  <si>
    <t>00310522018000001</t>
  </si>
  <si>
    <t>牙周病伴错合畸形活动矫治器正畸治疗（18岁以上）</t>
  </si>
  <si>
    <t>00310522004000000</t>
  </si>
  <si>
    <t>恒牙期安氏I类错合固定矫治器正畸治疗</t>
  </si>
  <si>
    <t>00310522004000001</t>
  </si>
  <si>
    <t>恒牙期安氏I类错合固定矫治器正畸（18岁以上）</t>
  </si>
  <si>
    <t>00310522023000000</t>
  </si>
  <si>
    <t>恒牙期颜面不对称正畸治疗</t>
  </si>
  <si>
    <t>00310522023000001</t>
  </si>
  <si>
    <t>恒牙期颜面不对称正畸治疗（18岁以上）</t>
  </si>
  <si>
    <t>00310522019000000</t>
  </si>
  <si>
    <t>牙周病伴错合畸形固定矫治器正畸治疗</t>
  </si>
  <si>
    <t>00310522019000001</t>
  </si>
  <si>
    <t>牙周病伴错合畸形固定矫治器正畸治疗（18岁以上）</t>
  </si>
  <si>
    <t>00310522026000000</t>
  </si>
  <si>
    <t>正颌外科术前术后正畸治疗</t>
  </si>
  <si>
    <t>00310522026000001</t>
  </si>
  <si>
    <t>正颌外科术前术后正畸治疗（18岁以上）</t>
  </si>
  <si>
    <t>00310522010000000</t>
  </si>
  <si>
    <t>恒牙早期安氏II类错合功能矫治器治疗</t>
  </si>
  <si>
    <t>00310522010000001</t>
  </si>
  <si>
    <t>恒牙早期安氏II类错合功能矫治器治疗（18岁以上）</t>
  </si>
  <si>
    <t>00310522011000000</t>
  </si>
  <si>
    <t>恒牙期牙性安氏II类错合固定矫治器治疗</t>
  </si>
  <si>
    <t>00310522011000001</t>
  </si>
  <si>
    <t>恒牙期牙性安氏II类错合固定矫治器治疗（18岁以上）</t>
  </si>
  <si>
    <t>00310522012000000</t>
  </si>
  <si>
    <t>恒牙期骨性安氏II类错合固定矫治器拔牙治疗</t>
  </si>
  <si>
    <t>00310522012000001</t>
  </si>
  <si>
    <t>恒牙期骨性安氏II类错合固定矫治器拔牙治疗（18岁以上）</t>
  </si>
  <si>
    <t>00310505005000000</t>
  </si>
  <si>
    <t xml:space="preserve">唇弓制备  </t>
  </si>
  <si>
    <t>每根</t>
  </si>
  <si>
    <t>00310505005000001</t>
  </si>
  <si>
    <t>唇弓制备附加曲方弓丝</t>
  </si>
  <si>
    <t>00310522016000000</t>
  </si>
  <si>
    <t>恒牙期安氏III类错合固定矫治器治疗</t>
  </si>
  <si>
    <t>00310522016000001</t>
  </si>
  <si>
    <t>恒牙期安氏III类错合固定矫治器治疗（18岁以上）</t>
  </si>
  <si>
    <t>00310522017000000</t>
  </si>
  <si>
    <t>恒牙期骨性安氏III类错合固定矫治器拔牙治疗</t>
  </si>
  <si>
    <t>00310522017000001</t>
  </si>
  <si>
    <t>恒牙期骨性安氏III类错合固定矫治器拔牙治疗（18岁以上）</t>
  </si>
  <si>
    <t>00310522027000000</t>
  </si>
  <si>
    <t>睡眠呼吸暂停综合征(OSAS)正畸治疗</t>
  </si>
  <si>
    <t>00310522027000001</t>
  </si>
  <si>
    <t>睡眠呼吸暂停综合征(OSAS)正畸治疗（18岁以上）</t>
  </si>
  <si>
    <t>00310507002000000</t>
  </si>
  <si>
    <t>错合畸形治疗设计</t>
  </si>
  <si>
    <t>00310507002000001</t>
  </si>
  <si>
    <t>错合畸形治疗设计(X线头影测量)</t>
  </si>
  <si>
    <t>00310507002000002</t>
  </si>
  <si>
    <t>错合畸形治疗设计(X线头影测量)（18岁以上）</t>
  </si>
  <si>
    <t>00310507002010000</t>
  </si>
  <si>
    <t>错合畸形治疗设计(牙合模型测量)</t>
  </si>
  <si>
    <t>00310507002010001</t>
  </si>
  <si>
    <t>错合畸形治疗设计(牙合模型测量)（18岁以上）</t>
  </si>
  <si>
    <t>00310507002020000</t>
  </si>
  <si>
    <t>错合畸形治疗设计(模型诊断性排牙)</t>
  </si>
  <si>
    <t>00310507002020001</t>
  </si>
  <si>
    <t>错合畸形治疗设计(模型诊断性排牙)（18岁以上）</t>
  </si>
  <si>
    <t>00310501010000000</t>
  </si>
  <si>
    <t>常规面合像检查</t>
  </si>
  <si>
    <t>每片</t>
  </si>
  <si>
    <t>00310501007000000</t>
  </si>
  <si>
    <t>口腔模型制备</t>
  </si>
  <si>
    <t>00310501008000000</t>
  </si>
  <si>
    <t>记存模型制备</t>
  </si>
  <si>
    <t>00310501009000000</t>
  </si>
  <si>
    <t>面部模型制备</t>
  </si>
  <si>
    <t>00310507001000000</t>
  </si>
  <si>
    <t>错合畸形初检</t>
  </si>
  <si>
    <t>00310507001000001</t>
  </si>
  <si>
    <t>错合畸形初检（18岁以上）</t>
  </si>
  <si>
    <t>00310505002000000</t>
  </si>
  <si>
    <t>云纹仪检查</t>
  </si>
  <si>
    <t>SX330604001000000</t>
  </si>
  <si>
    <t>正畸支抗钉植入术</t>
  </si>
  <si>
    <t>00310512008000000</t>
  </si>
  <si>
    <t>前牙根折根牵引</t>
  </si>
  <si>
    <t>每牙</t>
  </si>
  <si>
    <t>00310502001000000</t>
  </si>
  <si>
    <t>牙髓活力检查</t>
  </si>
  <si>
    <t>00310511008000000</t>
  </si>
  <si>
    <t>橡皮障隔湿法</t>
  </si>
  <si>
    <t>00310511013000000</t>
  </si>
  <si>
    <t>开髓引流术</t>
  </si>
  <si>
    <t>00310511015000000</t>
  </si>
  <si>
    <t>牙髓摘除术</t>
  </si>
  <si>
    <t>每根管</t>
  </si>
  <si>
    <t>00310511012000000</t>
  </si>
  <si>
    <t>牙髓失活术</t>
  </si>
  <si>
    <t>00310512011000000</t>
  </si>
  <si>
    <t>活髓切断术</t>
  </si>
  <si>
    <t>00310511014000000</t>
  </si>
  <si>
    <t>干髓术</t>
  </si>
  <si>
    <t>00310511020000000</t>
  </si>
  <si>
    <t>牙髓塑化治疗术</t>
  </si>
  <si>
    <t>00310511016000000</t>
  </si>
  <si>
    <t>根管预备</t>
  </si>
  <si>
    <t>00310511016000001</t>
  </si>
  <si>
    <t>根管预备(使用镍钛锉)</t>
  </si>
  <si>
    <t>00310511016000100</t>
  </si>
  <si>
    <t>特殊根管预备</t>
  </si>
  <si>
    <t>00310502002000000</t>
  </si>
  <si>
    <t>根管长度测量</t>
  </si>
  <si>
    <t>00310512009000000</t>
  </si>
  <si>
    <t>钙化桥打通术</t>
  </si>
  <si>
    <t>00310511018000000</t>
  </si>
  <si>
    <t>显微根管治疗术</t>
  </si>
  <si>
    <t>00310511019000000</t>
  </si>
  <si>
    <t>髓腔消毒术</t>
  </si>
  <si>
    <t>00310511019000100</t>
  </si>
  <si>
    <t>特殊髓腔消毒术加收</t>
  </si>
  <si>
    <t>00310511017000000</t>
  </si>
  <si>
    <t>根管充填术</t>
  </si>
  <si>
    <t>00310511017000100</t>
  </si>
  <si>
    <t>根管充填术(使用特殊仪器)</t>
  </si>
  <si>
    <t>00310511025000000</t>
  </si>
  <si>
    <t>根管内固定术</t>
  </si>
  <si>
    <t>00310511021000000</t>
  </si>
  <si>
    <t>根管再治疗术</t>
  </si>
  <si>
    <t>00310511021000100</t>
  </si>
  <si>
    <t>根管再治疗术使用显微镜加收</t>
  </si>
  <si>
    <t>00310511021000101</t>
  </si>
  <si>
    <t>根管再治疗术使用超声仪加收</t>
  </si>
  <si>
    <t>00310511021040000</t>
  </si>
  <si>
    <t>根管再治疗术使用套管针取根管内折断器械加收</t>
  </si>
  <si>
    <t>00310512001000000</t>
  </si>
  <si>
    <t>根尖诱导成形术</t>
  </si>
  <si>
    <t>00310511022000000</t>
  </si>
  <si>
    <t>髓腔穿孔修补术</t>
  </si>
  <si>
    <t>00310511023000000</t>
  </si>
  <si>
    <t>根管壁穿孔外科修补术</t>
  </si>
  <si>
    <t>00330604032000000</t>
  </si>
  <si>
    <t>显微根管外科手术</t>
  </si>
  <si>
    <t>00330604026000000</t>
  </si>
  <si>
    <t>根尖切除术</t>
  </si>
  <si>
    <t>00330604027000000</t>
  </si>
  <si>
    <t>根尖搔刮术</t>
  </si>
  <si>
    <t>00310511011000000</t>
  </si>
  <si>
    <t>盖髓术</t>
  </si>
  <si>
    <t>00310511011000001</t>
  </si>
  <si>
    <t>盖髓术(使用激光)</t>
  </si>
  <si>
    <t>00310511011010000</t>
  </si>
  <si>
    <t>盖髓术(龋齿特殊检查)</t>
  </si>
  <si>
    <t>00310511004000000</t>
  </si>
  <si>
    <t>牙体缺损粘接修复术</t>
  </si>
  <si>
    <t>00310510001000000</t>
  </si>
  <si>
    <t>调合</t>
  </si>
  <si>
    <t>00310511001000000</t>
  </si>
  <si>
    <t>简单充填术</t>
  </si>
  <si>
    <t>每洞</t>
  </si>
  <si>
    <t>00310511005000000</t>
  </si>
  <si>
    <t>充填体抛光术</t>
  </si>
  <si>
    <t>00310511005010000</t>
  </si>
  <si>
    <t>充填体抛光术(各类充填体抛光）</t>
  </si>
  <si>
    <t>00310511002000000</t>
  </si>
  <si>
    <t>复杂充填术</t>
  </si>
  <si>
    <t>00310511002030000</t>
  </si>
  <si>
    <t>复杂充填术(化学微创祛龋术)</t>
  </si>
  <si>
    <t>00310511002020000</t>
  </si>
  <si>
    <t>复杂充填术(大面积缺损充填)</t>
  </si>
  <si>
    <t>00310511006000000</t>
  </si>
  <si>
    <t>前牙美容修复术</t>
  </si>
  <si>
    <t>00310512002000000</t>
  </si>
  <si>
    <t>窝沟封闭</t>
  </si>
  <si>
    <t>00310510002000000</t>
  </si>
  <si>
    <t>氟防龋治疗</t>
  </si>
  <si>
    <t>00310510003000000</t>
  </si>
  <si>
    <t>牙脱敏治疗</t>
  </si>
  <si>
    <t>00310511010000000</t>
  </si>
  <si>
    <t>牙齿漂白术</t>
  </si>
  <si>
    <t>00310511009000000</t>
  </si>
  <si>
    <t>牙脱色术</t>
  </si>
  <si>
    <t>00310512003000000</t>
  </si>
  <si>
    <t>乳牙预成冠修复</t>
  </si>
  <si>
    <t>00310512004000000</t>
  </si>
  <si>
    <t>儿童前牙树脂冠修复</t>
  </si>
  <si>
    <t>00330604002000000</t>
  </si>
  <si>
    <t>前牙拔除术</t>
  </si>
  <si>
    <t>00330604002010000</t>
  </si>
  <si>
    <t>前牙拔除术（该区段多生牙）</t>
  </si>
  <si>
    <t>00330604003000000</t>
  </si>
  <si>
    <t>前磨牙拔除术</t>
  </si>
  <si>
    <t>00330604003010000</t>
  </si>
  <si>
    <t>前磨牙拔除术（该区段多生牙）</t>
  </si>
  <si>
    <t>00330604004000000</t>
  </si>
  <si>
    <t>磨牙拔除术</t>
  </si>
  <si>
    <t>00330604004010000</t>
  </si>
  <si>
    <t>磨牙拔除术（该区段多生牙）</t>
  </si>
  <si>
    <t>00310510007000000</t>
  </si>
  <si>
    <t>口腔局部止血</t>
  </si>
  <si>
    <t>00330604005000000</t>
  </si>
  <si>
    <t>复杂牙拔除术</t>
  </si>
  <si>
    <t>00330604001000000</t>
  </si>
  <si>
    <t>乳牙拔除术</t>
  </si>
  <si>
    <t>00330604006000000</t>
  </si>
  <si>
    <t>阻生牙拔除术</t>
  </si>
  <si>
    <t>SX330604006000001</t>
  </si>
  <si>
    <t>埋伏齿拔除术</t>
  </si>
  <si>
    <t>00310510006000000</t>
  </si>
  <si>
    <t>牙开窗助萌术</t>
  </si>
  <si>
    <t>00310510004000000</t>
  </si>
  <si>
    <t>口腔局部冲洗上药</t>
  </si>
  <si>
    <t>00330604029000000</t>
  </si>
  <si>
    <t>牙龈翻瓣术</t>
  </si>
  <si>
    <t>00330604007000000</t>
  </si>
  <si>
    <t>拔牙创面搔刮术</t>
  </si>
  <si>
    <t>00330604009000000</t>
  </si>
  <si>
    <t>牙移植术</t>
  </si>
  <si>
    <t>00330604008000000</t>
  </si>
  <si>
    <t>牙再植术</t>
  </si>
  <si>
    <t>00330605001000001</t>
  </si>
  <si>
    <t>口腔颌面部小肿物切除术（门诊手术）</t>
  </si>
  <si>
    <t>00330606001000000</t>
  </si>
  <si>
    <t>系带成形术</t>
  </si>
  <si>
    <t>00330606001000001</t>
  </si>
  <si>
    <t>系带成形术（激光）</t>
  </si>
  <si>
    <t>00330606001010000</t>
  </si>
  <si>
    <t>唇系带成形术</t>
  </si>
  <si>
    <t>00330606001010001</t>
  </si>
  <si>
    <t>唇系带成形术（激光）</t>
  </si>
  <si>
    <t>00330606001020000</t>
  </si>
  <si>
    <t>颊系带成形术</t>
  </si>
  <si>
    <t>00330606001020001</t>
  </si>
  <si>
    <t>颊系带成形术（激光）</t>
  </si>
  <si>
    <t>00330606001030000</t>
  </si>
  <si>
    <t>舌系带成形术</t>
  </si>
  <si>
    <t>00330606001030001</t>
  </si>
  <si>
    <t>舌系带成形术（激光）</t>
  </si>
  <si>
    <t>00310510009000000</t>
  </si>
  <si>
    <t>口内脓肿切开引流术</t>
  </si>
  <si>
    <t>SX310510000000000</t>
  </si>
  <si>
    <t>口腔无回吸技术加收</t>
  </si>
  <si>
    <t>00310511003000000</t>
  </si>
  <si>
    <t>牙体桩钉固位修复术</t>
  </si>
  <si>
    <t>00310519025000000</t>
  </si>
  <si>
    <t>加磁性固位体</t>
  </si>
  <si>
    <t>每个</t>
  </si>
  <si>
    <t>00310517002000000</t>
  </si>
  <si>
    <t>嵌体修复</t>
  </si>
  <si>
    <t>00310517002000001</t>
  </si>
  <si>
    <t>贵重金属嵌体修复</t>
  </si>
  <si>
    <t>00310517002000002</t>
  </si>
  <si>
    <t>瓷嵌体修复</t>
  </si>
  <si>
    <t>00310517002000003</t>
  </si>
  <si>
    <t>复合树脂嵌体修复</t>
  </si>
  <si>
    <t>00310517002000004</t>
  </si>
  <si>
    <t>金属嵌体修复</t>
  </si>
  <si>
    <t>00310517003000000</t>
  </si>
  <si>
    <t>桩核根帽修复</t>
  </si>
  <si>
    <t>00310517004000000</t>
  </si>
  <si>
    <t>贴面修复</t>
  </si>
  <si>
    <t>00310517004000001</t>
  </si>
  <si>
    <t>瓷贴面修复</t>
  </si>
  <si>
    <t>00310517005000000</t>
  </si>
  <si>
    <t>桩冠修复</t>
  </si>
  <si>
    <t>00310517001000000</t>
  </si>
  <si>
    <t>冠修复</t>
  </si>
  <si>
    <t>00310517001000001</t>
  </si>
  <si>
    <t>贵重金属冠修复</t>
  </si>
  <si>
    <t>00310517001000002</t>
  </si>
  <si>
    <t>全瓷冠修复</t>
  </si>
  <si>
    <t>00310517001000003</t>
  </si>
  <si>
    <t>烤瓷冠修复</t>
  </si>
  <si>
    <t>00310517001000004</t>
  </si>
  <si>
    <t>铸造冠修复</t>
  </si>
  <si>
    <t>00310517001000005</t>
  </si>
  <si>
    <t>锤造冠修复</t>
  </si>
  <si>
    <t>00310517001000006</t>
  </si>
  <si>
    <t>塑料冠修复</t>
  </si>
  <si>
    <t>00310511007000000</t>
  </si>
  <si>
    <t>树脂嵌体修复术</t>
  </si>
  <si>
    <t>00310511007000100</t>
  </si>
  <si>
    <t>树脂高嵌体修复术</t>
  </si>
  <si>
    <t>00310517009000000</t>
  </si>
  <si>
    <t>粘结</t>
  </si>
  <si>
    <t>00310517006000000</t>
  </si>
  <si>
    <t>固定桥</t>
  </si>
  <si>
    <t>00310517006000001</t>
  </si>
  <si>
    <t>瓷桥体固定桥</t>
  </si>
  <si>
    <t>00310517006000002</t>
  </si>
  <si>
    <t>铸造桥体固定桥</t>
  </si>
  <si>
    <t>00310517006000003</t>
  </si>
  <si>
    <t>锤造桥体固定桥</t>
  </si>
  <si>
    <t>00310517006000004</t>
  </si>
  <si>
    <t>塑料桥体固定桥</t>
  </si>
  <si>
    <t>00310517007000000</t>
  </si>
  <si>
    <t>固定修复计算机辅助设计</t>
  </si>
  <si>
    <t>00310517008000000</t>
  </si>
  <si>
    <t>咬合重建</t>
  </si>
  <si>
    <t>00310519007000000</t>
  </si>
  <si>
    <t>取局部合关系记录</t>
  </si>
  <si>
    <t>00310519008000000</t>
  </si>
  <si>
    <t>取正中合关系记录</t>
  </si>
  <si>
    <t>00310518006000000</t>
  </si>
  <si>
    <t>附着体义齿</t>
  </si>
  <si>
    <t>00310519012000000</t>
  </si>
  <si>
    <t>义齿组织面重衬</t>
  </si>
  <si>
    <t>00310518007000000</t>
  </si>
  <si>
    <t>总义齿</t>
  </si>
  <si>
    <t>00310519006000000</t>
  </si>
  <si>
    <t>调改义齿</t>
  </si>
  <si>
    <t>00310519009000000</t>
  </si>
  <si>
    <t>加人工牙</t>
  </si>
  <si>
    <t>00310519010000000</t>
  </si>
  <si>
    <t>义齿接长基托</t>
  </si>
  <si>
    <t>00310519019000000</t>
  </si>
  <si>
    <t>塑料合面加高咬合</t>
  </si>
  <si>
    <t>00310519020000000</t>
  </si>
  <si>
    <t>弹性假牙龈</t>
  </si>
  <si>
    <t>00310521002000000</t>
  </si>
  <si>
    <t>义颌修复</t>
  </si>
  <si>
    <t>每区段</t>
  </si>
  <si>
    <t>00310521002000200</t>
  </si>
  <si>
    <t>义颌修复加收</t>
  </si>
  <si>
    <t>00310518002000000</t>
  </si>
  <si>
    <t>塑料可摘局部义齿</t>
  </si>
  <si>
    <t>/</t>
  </si>
  <si>
    <t>00310518002000001</t>
  </si>
  <si>
    <t>塑料可摘局部义齿（K1)</t>
  </si>
  <si>
    <t>00310518002000002</t>
  </si>
  <si>
    <t>塑料疑难可摘局部义齿(K1)</t>
  </si>
  <si>
    <t>00310518002000003</t>
  </si>
  <si>
    <t>塑料可摘局部义齿(K2)</t>
  </si>
  <si>
    <t>00310518002000004</t>
  </si>
  <si>
    <t>塑料疑难可摘局部义齿(K2)</t>
  </si>
  <si>
    <t>00310518002000005</t>
  </si>
  <si>
    <t>塑料可摘局部义齿(K3)</t>
  </si>
  <si>
    <t>00310518002000006</t>
  </si>
  <si>
    <t>塑料疑难可摘局部义齿(K3)</t>
  </si>
  <si>
    <t>00310518002000007</t>
  </si>
  <si>
    <t>塑料可摘局部义齿(K4)</t>
  </si>
  <si>
    <t>00310518002000008</t>
  </si>
  <si>
    <t>塑料疑难可摘局部义齿(K4)</t>
  </si>
  <si>
    <t>00310518002000009</t>
  </si>
  <si>
    <t>塑料可摘局部义齿每多一个亚类加收</t>
  </si>
  <si>
    <t>00310518004000000</t>
  </si>
  <si>
    <t>美容义齿</t>
  </si>
  <si>
    <t>00310518001000000</t>
  </si>
  <si>
    <t>活动桥</t>
  </si>
  <si>
    <t>00310518003000000</t>
  </si>
  <si>
    <t>铸造可摘局部义齿</t>
  </si>
  <si>
    <t>00310518003000001</t>
  </si>
  <si>
    <t>铸造可摘局部义齿(K1)</t>
  </si>
  <si>
    <t>00310518003000002</t>
  </si>
  <si>
    <t>铸造疑难可摘局部义齿(K1)</t>
  </si>
  <si>
    <t>00310518003000003</t>
  </si>
  <si>
    <t>铸造可摘局部义齿(K2)</t>
  </si>
  <si>
    <t>00310518003000004</t>
  </si>
  <si>
    <t>铸造疑难可摘局部义齿(K2)</t>
  </si>
  <si>
    <t>00310518003000005</t>
  </si>
  <si>
    <t>铸造可摘局部义齿(K3)</t>
  </si>
  <si>
    <t>00310518003000006</t>
  </si>
  <si>
    <t>铸造疑难可摘局部义齿(K3)</t>
  </si>
  <si>
    <t>00310518003000007</t>
  </si>
  <si>
    <t>铸造可摘局部义齿(K4)</t>
  </si>
  <si>
    <t>00310518003000008</t>
  </si>
  <si>
    <t>铸造疑难可摘局部义齿(K4)</t>
  </si>
  <si>
    <t>00310518003000009</t>
  </si>
  <si>
    <t>铸造可摘局部义齿每多一个亚类加收</t>
  </si>
  <si>
    <t>00310519013000000</t>
  </si>
  <si>
    <t>加卡环</t>
  </si>
  <si>
    <t>每卡环</t>
  </si>
  <si>
    <t>00310519014000000</t>
  </si>
  <si>
    <t>增加铸造基托</t>
  </si>
  <si>
    <t>面积
5＋5</t>
  </si>
  <si>
    <t>00310519015000000</t>
  </si>
  <si>
    <t>加合支托</t>
  </si>
  <si>
    <t>00310519016000000</t>
  </si>
  <si>
    <t>加铸合面</t>
  </si>
  <si>
    <t>00310519017000000</t>
  </si>
  <si>
    <t>增加加固装置</t>
  </si>
  <si>
    <t>00310519018000000</t>
  </si>
  <si>
    <t>加连接杆</t>
  </si>
  <si>
    <t>00310521003000000</t>
  </si>
  <si>
    <t>软腭抬高器治疗</t>
  </si>
  <si>
    <t>00310521005000000</t>
  </si>
  <si>
    <t>颜面赝复体种植修复</t>
  </si>
  <si>
    <t>每种植体</t>
  </si>
  <si>
    <t>00310512010000000</t>
  </si>
  <si>
    <t>全牙列合垫固定术</t>
  </si>
  <si>
    <t>00310520001000000</t>
  </si>
  <si>
    <t>合垫</t>
  </si>
  <si>
    <t>每件</t>
  </si>
  <si>
    <t>00310516003000000</t>
  </si>
  <si>
    <t>调磨合垫</t>
  </si>
  <si>
    <t>每次</t>
  </si>
  <si>
    <t>00310519002000000</t>
  </si>
  <si>
    <t>拆桩</t>
  </si>
  <si>
    <t>00310519001000000</t>
  </si>
  <si>
    <t>拆冠桥</t>
  </si>
  <si>
    <t>00310510005000000</t>
  </si>
  <si>
    <t>不良修复体拆除</t>
  </si>
  <si>
    <t>00310510005000001</t>
  </si>
  <si>
    <t>铸造冠拆除</t>
  </si>
  <si>
    <t>00310519026000000</t>
  </si>
  <si>
    <t>附着体增换</t>
  </si>
  <si>
    <t>每附着体</t>
  </si>
  <si>
    <t>00310519026010000</t>
  </si>
  <si>
    <t>附着体更换</t>
  </si>
  <si>
    <t>00310519026010001</t>
  </si>
  <si>
    <t>附着体增加</t>
  </si>
  <si>
    <t>00310519011000000</t>
  </si>
  <si>
    <t>义齿裂纹及折裂修理</t>
  </si>
  <si>
    <t>00310519004000000</t>
  </si>
  <si>
    <t>加装饰面</t>
  </si>
  <si>
    <t>00310519005000000</t>
  </si>
  <si>
    <t>烤瓷冠崩瓷修理</t>
  </si>
  <si>
    <t>00310519003000000</t>
  </si>
  <si>
    <t>加焊</t>
  </si>
  <si>
    <t>每2mm缺隙</t>
  </si>
  <si>
    <t>00310519003000200</t>
  </si>
  <si>
    <t>加焊加收</t>
  </si>
  <si>
    <t>00310503006000000</t>
  </si>
  <si>
    <t>牙周探针检查</t>
  </si>
  <si>
    <t>00310503006010000</t>
  </si>
  <si>
    <t>牙周探诊</t>
  </si>
  <si>
    <t>00310503006020000</t>
  </si>
  <si>
    <t>牙周指数检查</t>
  </si>
  <si>
    <t>00310503006030000</t>
  </si>
  <si>
    <t>牙周电子探针检查</t>
  </si>
  <si>
    <t>00310501001000000</t>
  </si>
  <si>
    <t>全口牙病系统检查与治疗设计</t>
  </si>
  <si>
    <t>00310501001000100</t>
  </si>
  <si>
    <t>全口牙病系统检查与治疗设计（牙周专业检查）</t>
  </si>
  <si>
    <t>00310503004000000</t>
  </si>
  <si>
    <t>龈上菌斑检查</t>
  </si>
  <si>
    <t>00310515002000000</t>
  </si>
  <si>
    <t>冠周炎局部治疗</t>
  </si>
  <si>
    <t>00310513007000000</t>
  </si>
  <si>
    <t>急性坏死性龈炎局部清创</t>
  </si>
  <si>
    <t>00310513006000000</t>
  </si>
  <si>
    <t>牙龈保护剂塞治</t>
  </si>
  <si>
    <t>00310513001000000</t>
  </si>
  <si>
    <t>洁治</t>
  </si>
  <si>
    <t>00310513001000001</t>
  </si>
  <si>
    <t>全口洁治</t>
  </si>
  <si>
    <t>00310513005000000</t>
  </si>
  <si>
    <t>牙面光洁术</t>
  </si>
  <si>
    <t>00310513005000001</t>
  </si>
  <si>
    <t>全口牙面光洁术</t>
  </si>
  <si>
    <t>00310513002000000</t>
  </si>
  <si>
    <t>龈下刮治</t>
  </si>
  <si>
    <t>00310513002000100</t>
  </si>
  <si>
    <t>后龈下刮治</t>
  </si>
  <si>
    <t>00310513008000000</t>
  </si>
  <si>
    <t>根面平整术</t>
  </si>
  <si>
    <t>00310513008000001</t>
  </si>
  <si>
    <t>根面平整术(后牙手工)</t>
  </si>
  <si>
    <t>00310513008000100</t>
  </si>
  <si>
    <t>根面平整术(前牙超声)</t>
  </si>
  <si>
    <t>00310513008000101</t>
  </si>
  <si>
    <t>根面平整术(后牙超声)</t>
  </si>
  <si>
    <t>00310513003000000</t>
  </si>
  <si>
    <t>牙周固定</t>
  </si>
  <si>
    <t>00310511026000000</t>
  </si>
  <si>
    <t>劈裂牙治疗</t>
  </si>
  <si>
    <t>00310511027000000</t>
  </si>
  <si>
    <t>后牙纵折固定术</t>
  </si>
  <si>
    <t>00310510010000000</t>
  </si>
  <si>
    <t>牙外伤结扎固定术</t>
  </si>
  <si>
    <t>00310510011000000</t>
  </si>
  <si>
    <t>拆除固定装置</t>
  </si>
  <si>
    <t>00310513004000000</t>
  </si>
  <si>
    <t>去除牙周固定</t>
  </si>
  <si>
    <t>00310501003000000</t>
  </si>
  <si>
    <t>合力测量检查</t>
  </si>
  <si>
    <t>00310501005000000</t>
  </si>
  <si>
    <t>下颌运动检查</t>
  </si>
  <si>
    <t>00310501004000000</t>
  </si>
  <si>
    <t>咀嚼功能检查</t>
  </si>
  <si>
    <t>00310501006000000</t>
  </si>
  <si>
    <t>唾液流量测定</t>
  </si>
  <si>
    <t>00310515005000000</t>
  </si>
  <si>
    <t>腮腺导管内药物灌注治疗</t>
  </si>
  <si>
    <t>00330605032000000</t>
  </si>
  <si>
    <t>涎腺导管结石取石术</t>
  </si>
  <si>
    <t>00310515004000000</t>
  </si>
  <si>
    <t>涎腺导管扩大术</t>
  </si>
  <si>
    <t>SX330000000000002</t>
  </si>
  <si>
    <t>涎腺镜加收</t>
  </si>
  <si>
    <t>00310514002000000</t>
  </si>
  <si>
    <t>口腔黏膜雾化治疗</t>
  </si>
  <si>
    <t>00310514003000000</t>
  </si>
  <si>
    <t>口腔黏膜病特殊治疗</t>
  </si>
  <si>
    <t>每部位/次</t>
  </si>
  <si>
    <t>00310514003000001</t>
  </si>
  <si>
    <t>口腔黏膜病特殊波段光治疗</t>
  </si>
  <si>
    <t>00310514003000002</t>
  </si>
  <si>
    <t>口腔黏膜病特殊治疗(黏膜封闭)</t>
  </si>
  <si>
    <t>00310514003010000</t>
  </si>
  <si>
    <t>口腔黏膜病红外线治疗</t>
  </si>
  <si>
    <t>00310514003020000</t>
  </si>
  <si>
    <t>口腔黏膜病微波治疗</t>
  </si>
  <si>
    <t>00310514003030000</t>
  </si>
  <si>
    <t>口腔黏膜病冷冻治疗</t>
  </si>
  <si>
    <t>00310514003040000</t>
  </si>
  <si>
    <t>口腔黏膜病频谱治疗</t>
  </si>
  <si>
    <t>SX330000000000003</t>
  </si>
  <si>
    <t>铒激光治疗加收</t>
  </si>
  <si>
    <t>00310401034000000</t>
  </si>
  <si>
    <t>耳纤维内镜检查</t>
  </si>
  <si>
    <t>00310401034010000</t>
  </si>
  <si>
    <t>完壁式乳突术后耳纤维内镜检查</t>
  </si>
  <si>
    <t>00310401034020000</t>
  </si>
  <si>
    <t>视频耳内镜检查</t>
  </si>
  <si>
    <t>00310401035000000</t>
  </si>
  <si>
    <t>硬性耳内镜检查</t>
  </si>
  <si>
    <t>00310401036000000</t>
  </si>
  <si>
    <t xml:space="preserve">电耳镜检查                              </t>
  </si>
  <si>
    <t>00310401038000000</t>
  </si>
  <si>
    <t>西格氏耳镜检查</t>
  </si>
  <si>
    <t>00310401038010000</t>
  </si>
  <si>
    <t>西格氏耳镜检查(瘘管试验)</t>
  </si>
  <si>
    <t>00310401038020000</t>
  </si>
  <si>
    <t>西格氏耳镜检查(鼓膜按摩)</t>
  </si>
  <si>
    <t>00220800008000001</t>
  </si>
  <si>
    <t>内镜或病理图文报告</t>
  </si>
  <si>
    <t>00310401037000000</t>
  </si>
  <si>
    <t>耳显微镜检查</t>
  </si>
  <si>
    <t>00310401002000000</t>
  </si>
  <si>
    <t>纯音听阈测定</t>
  </si>
  <si>
    <t>00310401008000000</t>
  </si>
  <si>
    <t>调谐曲线</t>
  </si>
  <si>
    <t>00310401025000000</t>
  </si>
  <si>
    <t>听力筛选试验</t>
  </si>
  <si>
    <t>00310401027000000</t>
  </si>
  <si>
    <t>定向条件反射测定</t>
  </si>
  <si>
    <t>00310401003000000</t>
  </si>
  <si>
    <t>自描听力检查</t>
  </si>
  <si>
    <t>00310401005000000</t>
  </si>
  <si>
    <t>纯音衰减试验</t>
  </si>
  <si>
    <t>00310401009000000</t>
  </si>
  <si>
    <t>言语测听</t>
  </si>
  <si>
    <t>21330000000000500</t>
  </si>
  <si>
    <t>鼻窦镜加收</t>
  </si>
  <si>
    <t>00310401024000000</t>
  </si>
  <si>
    <t>听探子检查</t>
  </si>
  <si>
    <t>21310401051000000</t>
  </si>
  <si>
    <t>小儿行为听力测试</t>
  </si>
  <si>
    <t>00310401004000000</t>
  </si>
  <si>
    <t>纯音短增量敏感指数试验</t>
  </si>
  <si>
    <t>00310401006000000</t>
  </si>
  <si>
    <t>双耳交替响度平衡试验</t>
  </si>
  <si>
    <t>00310401007000000</t>
  </si>
  <si>
    <t>响度不适与舒适阈检测</t>
  </si>
  <si>
    <t>00310401016000000</t>
  </si>
  <si>
    <t>稳态听觉诱发反应</t>
  </si>
  <si>
    <t>00310401017000000</t>
  </si>
  <si>
    <t>中潜伏期诱发电位</t>
  </si>
  <si>
    <t>00310401014000000</t>
  </si>
  <si>
    <t xml:space="preserve">耳蜗电图 </t>
  </si>
  <si>
    <t>00310401018000000</t>
  </si>
  <si>
    <t>皮层慢反应</t>
  </si>
  <si>
    <t>00310401020000000</t>
  </si>
  <si>
    <t>鼓岬电刺激反应</t>
  </si>
  <si>
    <t>00310401019000000</t>
  </si>
  <si>
    <t>迟期成分检查</t>
  </si>
  <si>
    <t>00310401001000000</t>
  </si>
  <si>
    <t>听性脑干反应</t>
  </si>
  <si>
    <t>00310401010000000</t>
  </si>
  <si>
    <t>声导抗测听</t>
  </si>
  <si>
    <t>00310401010010000</t>
  </si>
  <si>
    <t>声导抗测听(鼓室图)</t>
  </si>
  <si>
    <t>00310401023000000</t>
  </si>
  <si>
    <t>中耳共振频率测定</t>
  </si>
  <si>
    <t>00310401010000100</t>
  </si>
  <si>
    <t>多频率声导抗测听</t>
  </si>
  <si>
    <t>00310401010020000</t>
  </si>
  <si>
    <t>声导抗测听(镫骨肌反射试验)</t>
  </si>
  <si>
    <t>00310401012000000</t>
  </si>
  <si>
    <t>镫骨肌反射衰减试验</t>
  </si>
  <si>
    <t>00310401011000000</t>
  </si>
  <si>
    <t>镫骨活动度检测(盖来试验)</t>
  </si>
  <si>
    <t>00310401013000000</t>
  </si>
  <si>
    <t>咽鼓管压力测定</t>
  </si>
  <si>
    <t>00310401015000000</t>
  </si>
  <si>
    <t>耳声发射检查</t>
  </si>
  <si>
    <t>00310401015000001</t>
  </si>
  <si>
    <t>耳声发射检查甘油试验加收</t>
  </si>
  <si>
    <t>00310401015010000</t>
  </si>
  <si>
    <t>耳声发射检查(自发性)</t>
  </si>
  <si>
    <t>00310401015020000</t>
  </si>
  <si>
    <t>耳声发射检查(诱发性)</t>
  </si>
  <si>
    <t>00310401015030000</t>
  </si>
  <si>
    <t>耳声发射检查(畸变产物耳声发射)</t>
  </si>
  <si>
    <t>00310401026000000</t>
  </si>
  <si>
    <t>耳鸣检查</t>
  </si>
  <si>
    <t>SX310401026000000</t>
  </si>
  <si>
    <t>00310401026010000</t>
  </si>
  <si>
    <t>他觉耳鸣检查</t>
  </si>
  <si>
    <t>00310401022000000</t>
  </si>
  <si>
    <t>平衡试验</t>
  </si>
  <si>
    <t>00310401022010000</t>
  </si>
  <si>
    <t>平衡试验(平板试验)</t>
  </si>
  <si>
    <t>00310401022020000</t>
  </si>
  <si>
    <t>平衡试验(视动试验)</t>
  </si>
  <si>
    <t>00310401022030000</t>
  </si>
  <si>
    <t>平衡试验(旋转试验)</t>
  </si>
  <si>
    <t>00310401022040000</t>
  </si>
  <si>
    <t>平衡试验(甘油试验)</t>
  </si>
  <si>
    <t>00310401022000001</t>
  </si>
  <si>
    <t>平衡试验(平衡台试验)</t>
  </si>
  <si>
    <t>SX310401001000000</t>
  </si>
  <si>
    <t>前庭诱发肌源性电位检查（VEMP）</t>
  </si>
  <si>
    <t>SX310401002000000</t>
  </si>
  <si>
    <t>前庭眼反射检测</t>
  </si>
  <si>
    <t>00310401028000000</t>
  </si>
  <si>
    <t>助听器选配试验</t>
  </si>
  <si>
    <t>00310401030000000</t>
  </si>
  <si>
    <t>真耳分析</t>
  </si>
  <si>
    <t>00310401029000000</t>
  </si>
  <si>
    <t>电子耳蜗编程</t>
  </si>
  <si>
    <t>SX310401003000000</t>
  </si>
  <si>
    <t>耳廓无创畸形矫治术</t>
  </si>
  <si>
    <t>单耳</t>
  </si>
  <si>
    <t>SX310401003000001</t>
  </si>
  <si>
    <t>耳廓无创畸形矫治术双耳加收</t>
  </si>
  <si>
    <t>00330501002000001</t>
  </si>
  <si>
    <t>耳道异物取出术（门诊手术）</t>
  </si>
  <si>
    <t>00330501002000000</t>
  </si>
  <si>
    <t>耳道异物取出术</t>
  </si>
  <si>
    <t>00310401048000000</t>
  </si>
  <si>
    <t>耳廓假性囊肿穿刺压迫治疗</t>
  </si>
  <si>
    <t>00310401046000000</t>
  </si>
  <si>
    <t xml:space="preserve">鼓膜贴补治疗 </t>
  </si>
  <si>
    <t>00310401046010000</t>
  </si>
  <si>
    <t>鼓膜贴补治疗(烧灼法)</t>
  </si>
  <si>
    <t>00310401046020000</t>
  </si>
  <si>
    <t>鼓膜贴补治疗(针拨法)</t>
  </si>
  <si>
    <t>00310401045000000</t>
  </si>
  <si>
    <t>耳药物烧灼</t>
  </si>
  <si>
    <t>00310401031000000</t>
  </si>
  <si>
    <t>鼓膜贴补试验</t>
  </si>
  <si>
    <t>00310401042000000</t>
  </si>
  <si>
    <t>耳正负压治疗</t>
  </si>
  <si>
    <t>00310401047000000</t>
  </si>
  <si>
    <t>耳神经阻滞</t>
  </si>
  <si>
    <t>00310401049000000</t>
  </si>
  <si>
    <t>耳部特殊治疗(冷冻)</t>
  </si>
  <si>
    <t>00310401049000001</t>
  </si>
  <si>
    <t>耳部特殊治疗(射频)</t>
  </si>
  <si>
    <t>00310401049000002</t>
  </si>
  <si>
    <t>耳部特殊治疗(激光)</t>
  </si>
  <si>
    <t>00310401049000003</t>
  </si>
  <si>
    <t>耳部特殊治疗(微波)</t>
  </si>
  <si>
    <t>00310401040000000</t>
  </si>
  <si>
    <t>鼓膜穿刺术</t>
  </si>
  <si>
    <t>00310401041000000</t>
  </si>
  <si>
    <t>耵聍冲洗</t>
  </si>
  <si>
    <t>00310401041010000</t>
  </si>
  <si>
    <t>耳道冲洗</t>
  </si>
  <si>
    <t>00310401039000000</t>
  </si>
  <si>
    <t>上鼓室冲洗术</t>
  </si>
  <si>
    <t>00310401043000000</t>
  </si>
  <si>
    <t>波氏法咽鼓管吹张</t>
  </si>
  <si>
    <t>00310401044000000</t>
  </si>
  <si>
    <t>导管法咽鼓管吹张</t>
  </si>
  <si>
    <t>00310401050000000</t>
  </si>
  <si>
    <t>耳石复位治疗</t>
  </si>
  <si>
    <t>00330501012000000</t>
  </si>
  <si>
    <t>外耳道疖脓肿切开引流术</t>
  </si>
  <si>
    <t>00330503017000000</t>
  </si>
  <si>
    <t>耳后骨膜下脓肿切开引流术</t>
  </si>
  <si>
    <t>00330501001010000</t>
  </si>
  <si>
    <t>耳廓脓肿切排清创术</t>
  </si>
  <si>
    <t>00330501009000000</t>
  </si>
  <si>
    <t>耳前瘘管感染切开引流术</t>
  </si>
  <si>
    <t>00330501003000000</t>
  </si>
  <si>
    <t>耳廓恶性肿瘤切除术</t>
  </si>
  <si>
    <t>SX330501002000000</t>
  </si>
  <si>
    <t>耳廓良性肿物切除术</t>
  </si>
  <si>
    <t>00330501018000000</t>
  </si>
  <si>
    <t>耳廓再造术</t>
  </si>
  <si>
    <t>00330501016000000</t>
  </si>
  <si>
    <t>一期耳廓成形术</t>
  </si>
  <si>
    <t>00330501017000000</t>
  </si>
  <si>
    <t>分期耳廓成形术</t>
  </si>
  <si>
    <t>SX330501001000000</t>
  </si>
  <si>
    <t>再造耳廓修整+耳甲腔屏成形术</t>
  </si>
  <si>
    <t>00330501015000000</t>
  </si>
  <si>
    <t>部分断耳再植术</t>
  </si>
  <si>
    <t>00330501014000000</t>
  </si>
  <si>
    <t>完全断耳再植术</t>
  </si>
  <si>
    <t>00330501019000000</t>
  </si>
  <si>
    <t>耳廓畸形矫正术</t>
  </si>
  <si>
    <t>00330501006000000</t>
  </si>
  <si>
    <t>耳前瘘管切除术</t>
  </si>
  <si>
    <t>00330501008000000</t>
  </si>
  <si>
    <t>耳后瘘孔修补术</t>
  </si>
  <si>
    <t>00330501007000000</t>
  </si>
  <si>
    <t>耳腮裂瘘管切除术</t>
  </si>
  <si>
    <t>00330501004000000</t>
  </si>
  <si>
    <t>耳颞部血管瘤切除术</t>
  </si>
  <si>
    <t>00330501005000000</t>
  </si>
  <si>
    <t>耳息肉摘除术</t>
  </si>
  <si>
    <t>00330501010000000</t>
  </si>
  <si>
    <t>外耳道良性肿物切除术</t>
  </si>
  <si>
    <t>00330501010010000</t>
  </si>
  <si>
    <t>外耳道骨瘤切除术</t>
  </si>
  <si>
    <t>00330501010020000</t>
  </si>
  <si>
    <t>外耳道胆脂瘤切除术</t>
  </si>
  <si>
    <t>00330501021000000</t>
  </si>
  <si>
    <t>外耳道成形术</t>
  </si>
  <si>
    <t>00330502002000000</t>
  </si>
  <si>
    <t>鼓膜切开术</t>
  </si>
  <si>
    <t>00330502003000000</t>
  </si>
  <si>
    <t>耳显微镜下鼓膜修补术</t>
  </si>
  <si>
    <t>00330502004000000</t>
  </si>
  <si>
    <t>经耳内镜鼓膜修补术</t>
  </si>
  <si>
    <t>00330502009000000</t>
  </si>
  <si>
    <t>鼓室成形术</t>
  </si>
  <si>
    <t>00330502001000000</t>
  </si>
  <si>
    <t>鼓膜置管术</t>
  </si>
  <si>
    <t>00330502011000000</t>
  </si>
  <si>
    <t>经耳内镜鼓室探查术</t>
  </si>
  <si>
    <t>00330503006000000</t>
  </si>
  <si>
    <t>鼓丛切除术</t>
  </si>
  <si>
    <t>00330503007000000</t>
  </si>
  <si>
    <t>鼓索神经切断术</t>
  </si>
  <si>
    <t>00330502010000000</t>
  </si>
  <si>
    <t>人工听骨听力重建术</t>
  </si>
  <si>
    <t>00330502007000000</t>
  </si>
  <si>
    <t>二氧化碳激光镫骨底板开窗术</t>
  </si>
  <si>
    <t>00330502005000000</t>
  </si>
  <si>
    <t>镫骨手术</t>
  </si>
  <si>
    <t>00330502005010000</t>
  </si>
  <si>
    <t>镫骨撼动术</t>
  </si>
  <si>
    <t>00330502005020000</t>
  </si>
  <si>
    <t>镫骨底板切除术</t>
  </si>
  <si>
    <t>00330502006000000</t>
  </si>
  <si>
    <t>二次镫骨底板切除术</t>
  </si>
  <si>
    <t>00330502008000000</t>
  </si>
  <si>
    <t>听骨链松解术</t>
  </si>
  <si>
    <t>00330502012000000</t>
  </si>
  <si>
    <t>咽鼓管扩张术</t>
  </si>
  <si>
    <t>00330502013000000</t>
  </si>
  <si>
    <t>咽鼓管再造术</t>
  </si>
  <si>
    <t>00330502018000000</t>
  </si>
  <si>
    <t>上鼓室鼓窦凿开术</t>
  </si>
  <si>
    <t>00330502014000000</t>
  </si>
  <si>
    <t>单纯乳突凿开术</t>
  </si>
  <si>
    <t>00330502015000000</t>
  </si>
  <si>
    <t>完壁式乳突根治术</t>
  </si>
  <si>
    <t>00330502016000000</t>
  </si>
  <si>
    <t>开放式乳突根治术</t>
  </si>
  <si>
    <t>00330502017000000</t>
  </si>
  <si>
    <t>乳突改良根治术</t>
  </si>
  <si>
    <t>00330502020000000</t>
  </si>
  <si>
    <t>电子耳蜗植入术</t>
  </si>
  <si>
    <t>00330502019000000</t>
  </si>
  <si>
    <t>经耳脑脊液耳漏修补术</t>
  </si>
  <si>
    <t>00330503001000000</t>
  </si>
  <si>
    <t>内耳窗修补术</t>
  </si>
  <si>
    <t>00330503001010000</t>
  </si>
  <si>
    <t>内耳窗修补术（圆窗）</t>
  </si>
  <si>
    <t>00330503001020000</t>
  </si>
  <si>
    <t>内耳窗修补术（前庭窗）</t>
  </si>
  <si>
    <t>00330503003000000</t>
  </si>
  <si>
    <t>内耳淋巴囊减压术</t>
  </si>
  <si>
    <t>00330503002000000</t>
  </si>
  <si>
    <t xml:space="preserve">内耳开窗术 </t>
  </si>
  <si>
    <t>00330503002010000</t>
  </si>
  <si>
    <t>内耳开窗术(经前庭窗迷路破坏术)</t>
  </si>
  <si>
    <t>00330503002020000</t>
  </si>
  <si>
    <t>内耳开窗术(半规管嵌顿术)</t>
  </si>
  <si>
    <t>00330503002030000</t>
  </si>
  <si>
    <t>内耳开窗术(外淋巴灌流术)</t>
  </si>
  <si>
    <t>00330503008000000</t>
  </si>
  <si>
    <t xml:space="preserve">经迷路听神经瘤切除术 </t>
  </si>
  <si>
    <t>00330503014000000</t>
  </si>
  <si>
    <t>颞骨部分切除术</t>
  </si>
  <si>
    <t>00330501013000000</t>
  </si>
  <si>
    <t>外耳道恶性肿瘤切除术</t>
  </si>
  <si>
    <t>00330503015000000</t>
  </si>
  <si>
    <t>颞骨次全切除术</t>
  </si>
  <si>
    <t>00330503016000000</t>
  </si>
  <si>
    <t>颞骨全切术</t>
  </si>
  <si>
    <t>00330503010000000</t>
  </si>
  <si>
    <t>经迷路岩部胆脂瘤切除术</t>
  </si>
  <si>
    <t>00330503011000000</t>
  </si>
  <si>
    <t>经中颅窝岩部胆脂瘤切除术</t>
  </si>
  <si>
    <t>00330503012000000</t>
  </si>
  <si>
    <t>经迷路岩尖引流术</t>
  </si>
  <si>
    <t>00330503013000000</t>
  </si>
  <si>
    <t>经中颅窝岩尖引流术</t>
  </si>
  <si>
    <t>00310402002000000</t>
  </si>
  <si>
    <t>前鼻镜检查</t>
  </si>
  <si>
    <t>00310402003000001</t>
  </si>
  <si>
    <t>长鼻镜检查</t>
  </si>
  <si>
    <t>00310402001000000</t>
  </si>
  <si>
    <t>鼻内镜检查</t>
  </si>
  <si>
    <t>00310402001000001</t>
  </si>
  <si>
    <t>鼻电子内镜检查镜</t>
  </si>
  <si>
    <t>00310402001000100</t>
  </si>
  <si>
    <t>鼻电子视频内镜检查镜</t>
  </si>
  <si>
    <t>00310402008000000</t>
  </si>
  <si>
    <t>鼻阻力测定</t>
  </si>
  <si>
    <t>00310402009000000</t>
  </si>
  <si>
    <t>声反射鼻腔测量</t>
  </si>
  <si>
    <t>00310402007000000</t>
  </si>
  <si>
    <t>嗅觉功能检测(直接法)</t>
  </si>
  <si>
    <t>00310402007000001</t>
  </si>
  <si>
    <t>嗅觉功能检测(仪器法)</t>
  </si>
  <si>
    <t>00310402010000000</t>
  </si>
  <si>
    <t>糖精试验</t>
  </si>
  <si>
    <t>00310402005000000</t>
  </si>
  <si>
    <t>鼻粘膜激发试验</t>
  </si>
  <si>
    <t>00330601007000000</t>
  </si>
  <si>
    <t>鼻腔异物取出术</t>
  </si>
  <si>
    <t>00310402024000000</t>
  </si>
  <si>
    <t>鼻异物取出</t>
  </si>
  <si>
    <t>00330602004000000</t>
  </si>
  <si>
    <t>鼻窦异物取出术</t>
  </si>
  <si>
    <t>00310402012000000</t>
  </si>
  <si>
    <t>鼻腔冲洗</t>
  </si>
  <si>
    <t>00310402015000000</t>
  </si>
  <si>
    <t>鼻窦冲洗</t>
  </si>
  <si>
    <t>00310402004000000</t>
  </si>
  <si>
    <t>鼻内镜手术后检查处理</t>
  </si>
  <si>
    <t>00310402019000000</t>
  </si>
  <si>
    <t>鼻负压置换治疗</t>
  </si>
  <si>
    <t>00310402014000000</t>
  </si>
  <si>
    <t>上颌窦穿刺术</t>
  </si>
  <si>
    <t>00310402017000000</t>
  </si>
  <si>
    <t>下鼻甲封闭术</t>
  </si>
  <si>
    <t>00330601013000000</t>
  </si>
  <si>
    <t>鼻中隔粘膜划痕术</t>
  </si>
  <si>
    <t>00310402022000000</t>
  </si>
  <si>
    <t>前鼻孔填塞</t>
  </si>
  <si>
    <t>00310402017010000</t>
  </si>
  <si>
    <t>鼻丘封闭术</t>
  </si>
  <si>
    <t>SX330603001000000</t>
  </si>
  <si>
    <t>经鼻内镜鼻腔止血术</t>
  </si>
  <si>
    <t>00310402023000000</t>
  </si>
  <si>
    <t>后鼻孔填塞</t>
  </si>
  <si>
    <t>00310402025000000</t>
  </si>
  <si>
    <t>鼻部特殊治疗(冷冻)</t>
  </si>
  <si>
    <t>00310402025000001</t>
  </si>
  <si>
    <t>鼻部特殊治疗(射频)</t>
  </si>
  <si>
    <t>00310402025000002</t>
  </si>
  <si>
    <t>鼻部特殊治疗(激光)</t>
  </si>
  <si>
    <t>00310402025000003</t>
  </si>
  <si>
    <t>鼻部特殊治疗(微波)</t>
  </si>
  <si>
    <t>SX330602015000000</t>
  </si>
  <si>
    <t>聚焦超声鼻炎治疗</t>
  </si>
  <si>
    <t>00330601019000000</t>
  </si>
  <si>
    <t>筛前神经切断术</t>
  </si>
  <si>
    <t>00330503005000000</t>
  </si>
  <si>
    <t>翼管神经切断术</t>
  </si>
  <si>
    <t>00330503004000000</t>
  </si>
  <si>
    <t>岩浅大神经切断术</t>
  </si>
  <si>
    <t>00330601003000000</t>
  </si>
  <si>
    <t>鼻部分缺损修复术</t>
  </si>
  <si>
    <t>00330601005000000</t>
  </si>
  <si>
    <t>前鼻孔成形术</t>
  </si>
  <si>
    <t>00330601027000000</t>
  </si>
  <si>
    <t>鼻孔闭锁修复术</t>
  </si>
  <si>
    <t>00330601027010000</t>
  </si>
  <si>
    <t>鼻孔狭窄修复术</t>
  </si>
  <si>
    <t>00330601028000000</t>
  </si>
  <si>
    <t>后鼻孔成形术</t>
  </si>
  <si>
    <t>00330601010000000</t>
  </si>
  <si>
    <t>鼻翼肿瘤切除成形术</t>
  </si>
  <si>
    <t>00330601017000000</t>
  </si>
  <si>
    <t>鼻中隔血肿切开引流术</t>
  </si>
  <si>
    <t>00330601017010000</t>
  </si>
  <si>
    <t>鼻中隔脓肿切开引流术</t>
  </si>
  <si>
    <t>00330601016000000</t>
  </si>
  <si>
    <t>鼻中隔穿孔修补术</t>
  </si>
  <si>
    <t>00330601008000000</t>
  </si>
  <si>
    <t>下鼻甲部分切除术</t>
  </si>
  <si>
    <t>00330601009000000</t>
  </si>
  <si>
    <t>中鼻甲部分切除术</t>
  </si>
  <si>
    <t>00330601004000000</t>
  </si>
  <si>
    <t>鼻继发畸形修复术</t>
  </si>
  <si>
    <t>00330601023000000</t>
  </si>
  <si>
    <t>隆鼻术后继发畸形矫正术</t>
  </si>
  <si>
    <t>00330601025000000</t>
  </si>
  <si>
    <t>鼻畸形矫正术</t>
  </si>
  <si>
    <t>00330601029000000</t>
  </si>
  <si>
    <t>鼻侧壁移位伴骨质充填术</t>
  </si>
  <si>
    <t>00330601012000000</t>
  </si>
  <si>
    <t>鼻息肉摘除术</t>
  </si>
  <si>
    <t>00330601011000000</t>
  </si>
  <si>
    <t>鼻前庭囊肿切除术</t>
  </si>
  <si>
    <t>00330601020000000</t>
  </si>
  <si>
    <t>经鼻鼻侧鼻腔鼻窦肿瘤切除术</t>
  </si>
  <si>
    <t>00330601021000000</t>
  </si>
  <si>
    <t>经鼻鼻腔鼻窦肿瘤切除术</t>
  </si>
  <si>
    <t>00330602002000000</t>
  </si>
  <si>
    <t>上颌窦根治术(柯-路氏手术)</t>
  </si>
  <si>
    <t>00330603003000000</t>
  </si>
  <si>
    <t>经前颅窝鼻窦肿物切除术</t>
  </si>
  <si>
    <t>00330611002000000</t>
  </si>
  <si>
    <t>经颈侧进路鼻咽肿瘤切除术</t>
  </si>
  <si>
    <t>00330611003000000</t>
  </si>
  <si>
    <t>经硬腭进路鼻咽肿瘤切除术</t>
  </si>
  <si>
    <t>00330602008000000</t>
  </si>
  <si>
    <t>鼻内额窦开放手术</t>
  </si>
  <si>
    <t>00330602006000000</t>
  </si>
  <si>
    <t>鼻额管扩张术</t>
  </si>
  <si>
    <t>00330602012000000</t>
  </si>
  <si>
    <t>鼻内蝶窦开放手术</t>
  </si>
  <si>
    <t>00330602013000000</t>
  </si>
  <si>
    <t>经鼻内镜鼻窦手术</t>
  </si>
  <si>
    <t>00330602013010000</t>
  </si>
  <si>
    <t>经鼻内镜额窦手术</t>
  </si>
  <si>
    <t>00330602013020000</t>
  </si>
  <si>
    <t>经鼻内镜筛窦手术</t>
  </si>
  <si>
    <t>00330602013030000</t>
  </si>
  <si>
    <t>经鼻内镜蝶窦手术</t>
  </si>
  <si>
    <t>00330602007000000</t>
  </si>
  <si>
    <t>鼻外额窦开放手术</t>
  </si>
  <si>
    <t>00330602010000000</t>
  </si>
  <si>
    <t>鼻内筛窦开放手术</t>
  </si>
  <si>
    <t>00330602009000000</t>
  </si>
  <si>
    <t>鼻外筛窦开放手术</t>
  </si>
  <si>
    <t>00330602011000000</t>
  </si>
  <si>
    <t>鼻外蝶窦开放手术</t>
  </si>
  <si>
    <t>00330602001000000</t>
  </si>
  <si>
    <t>上颌窦鼻内开窗术</t>
  </si>
  <si>
    <t>00330602014000000</t>
  </si>
  <si>
    <t>全筛窦切除术</t>
  </si>
  <si>
    <t>00330601002000000</t>
  </si>
  <si>
    <t>鼻骨骨折整复术</t>
  </si>
  <si>
    <t>00330601002000001</t>
  </si>
  <si>
    <t>鼻骨骨折整复术(门诊手术)</t>
  </si>
  <si>
    <t>00330601018000000</t>
  </si>
  <si>
    <t>筛动脉结扎术</t>
  </si>
  <si>
    <t>00330602003000000</t>
  </si>
  <si>
    <t>经上颌窦颌内动脉结扎术</t>
  </si>
  <si>
    <t>00330601014000000</t>
  </si>
  <si>
    <t>鼻中隔矫正术</t>
  </si>
  <si>
    <t>00330601014010000</t>
  </si>
  <si>
    <t>鼻中隔降肌附着过低矫正术</t>
  </si>
  <si>
    <t>00330601015000000</t>
  </si>
  <si>
    <t>鼻中隔软骨取骨术</t>
  </si>
  <si>
    <t>00330602005000000</t>
  </si>
  <si>
    <t>萎缩性鼻炎鼻腔缩窄术</t>
  </si>
  <si>
    <t>00330606026000000</t>
  </si>
  <si>
    <t>口鼻腔前庭瘘修补术</t>
  </si>
  <si>
    <t>00310402018000000</t>
  </si>
  <si>
    <t>鼻腔粘连分离术</t>
  </si>
  <si>
    <t>00310402018000001</t>
  </si>
  <si>
    <t>经鼻内镜鼻腔粘连分离术</t>
  </si>
  <si>
    <t>00310403007000000</t>
  </si>
  <si>
    <t>间接鼻咽镜检查</t>
  </si>
  <si>
    <t>00310403012000000</t>
  </si>
  <si>
    <t>间接喉镜检查</t>
  </si>
  <si>
    <t>00310403008000000</t>
  </si>
  <si>
    <t>硬性鼻咽镜检查</t>
  </si>
  <si>
    <t>00310403006000000</t>
  </si>
  <si>
    <t>纤维鼻咽镜检查</t>
  </si>
  <si>
    <t>00310403009000000</t>
  </si>
  <si>
    <t>纤维喉镜检查</t>
  </si>
  <si>
    <t>00310403009000100</t>
  </si>
  <si>
    <t>电子喉镜检查</t>
  </si>
  <si>
    <t>00310403010000000</t>
  </si>
  <si>
    <t>喉动态镜检查</t>
  </si>
  <si>
    <t>00310403013000000</t>
  </si>
  <si>
    <t>支撑喉镜检查</t>
  </si>
  <si>
    <t>00310403011000000</t>
  </si>
  <si>
    <t>直达喉镜检查</t>
  </si>
  <si>
    <t>00310403011010000</t>
  </si>
  <si>
    <t>前联合镜检查</t>
  </si>
  <si>
    <t>00310403001000000</t>
  </si>
  <si>
    <t>喉声图</t>
  </si>
  <si>
    <t>00310403002000000</t>
  </si>
  <si>
    <t>喉频谱仪检查</t>
  </si>
  <si>
    <t>00310403004000000</t>
  </si>
  <si>
    <t>计算机嗓音疾病评估</t>
  </si>
  <si>
    <t>00310403005000000</t>
  </si>
  <si>
    <t>计算机言语疾病矫治</t>
  </si>
  <si>
    <t>00310403003000000</t>
  </si>
  <si>
    <t>喉电图测试</t>
  </si>
  <si>
    <t>00330701001000001</t>
  </si>
  <si>
    <t>咽部异物取出门诊手术</t>
  </si>
  <si>
    <t>00330701001020001</t>
  </si>
  <si>
    <t>经直达喉镜喉异物取出术</t>
  </si>
  <si>
    <t>00330701001000002</t>
  </si>
  <si>
    <t>喉部异物取出门诊手术</t>
  </si>
  <si>
    <t>00330701001020000</t>
  </si>
  <si>
    <t>经直达喉镜咽异物取出术</t>
  </si>
  <si>
    <t>00310403014000000</t>
  </si>
  <si>
    <t>咽封闭</t>
  </si>
  <si>
    <t>00310403015000000</t>
  </si>
  <si>
    <t>喉上神经封闭术</t>
  </si>
  <si>
    <t>00310403016000000</t>
  </si>
  <si>
    <t>咽部特殊治疗(冷冻)</t>
  </si>
  <si>
    <t>00310403016000001</t>
  </si>
  <si>
    <t>咽部特殊治疗(射频)</t>
  </si>
  <si>
    <t>00310403016000002</t>
  </si>
  <si>
    <t>咽部特殊治疗(激光)</t>
  </si>
  <si>
    <t>00310403016000003</t>
  </si>
  <si>
    <t>咽部特殊治疗(微波)</t>
  </si>
  <si>
    <t>00330701022010000</t>
  </si>
  <si>
    <t>咽良性肿瘤切除术</t>
  </si>
  <si>
    <t>00330701022010001</t>
  </si>
  <si>
    <t>间接喉镜下咽肿物摘除术</t>
  </si>
  <si>
    <t>00330701022010002</t>
  </si>
  <si>
    <t>经支撑喉镜咽良性肿瘤切除术</t>
  </si>
  <si>
    <t>00330605022000000</t>
  </si>
  <si>
    <t>口咽部恶性肿物局部扩大切除术</t>
  </si>
  <si>
    <t>00330611006000000</t>
  </si>
  <si>
    <t>颈外进路咽旁间隙肿物摘除术</t>
  </si>
  <si>
    <t>00330611006000001</t>
  </si>
  <si>
    <t>经口腔入路咽旁间隙肿物摘除术</t>
  </si>
  <si>
    <t>00330611005000000</t>
  </si>
  <si>
    <t>颈侧切开下咽肿瘤切除术</t>
  </si>
  <si>
    <t>00330611004000000</t>
  </si>
  <si>
    <t>经硬腭进路鼻咽狭窄闭锁切开成形术</t>
  </si>
  <si>
    <t>00330606007000000</t>
  </si>
  <si>
    <t>悬雍垂缩短术</t>
  </si>
  <si>
    <t>00330606006000000</t>
  </si>
  <si>
    <t>腭咽成形术</t>
  </si>
  <si>
    <t>00330606008000000</t>
  </si>
  <si>
    <t xml:space="preserve">悬雍垂腭咽成形术(UPPP) </t>
  </si>
  <si>
    <t>00330606021000000</t>
  </si>
  <si>
    <t>腭咽肌瓣成形术</t>
  </si>
  <si>
    <t>00330606022000000</t>
  </si>
  <si>
    <t>咽后嵴成形术</t>
  </si>
  <si>
    <t>00330606023000000</t>
  </si>
  <si>
    <t>咽后壁组织瓣成形术</t>
  </si>
  <si>
    <t>00330606004000000</t>
  </si>
  <si>
    <t>腭弓成形术</t>
  </si>
  <si>
    <t>00330606004010000</t>
  </si>
  <si>
    <t>舌腭弓成形术</t>
  </si>
  <si>
    <t>00330606004020000</t>
  </si>
  <si>
    <t>咽腭弓成形术</t>
  </si>
  <si>
    <t>00330606005000000</t>
  </si>
  <si>
    <t>腭帆缩短术</t>
  </si>
  <si>
    <t>00330610001000000</t>
  </si>
  <si>
    <t>扁桃体切除术</t>
  </si>
  <si>
    <t>00330610002000000</t>
  </si>
  <si>
    <t>腺样体刮除术</t>
  </si>
  <si>
    <t>00330610003000000</t>
  </si>
  <si>
    <t>舌扁桃体切除术</t>
  </si>
  <si>
    <t>00330701038000000</t>
  </si>
  <si>
    <t>会厌良性肿瘤切除术</t>
  </si>
  <si>
    <t>00330701037000000</t>
  </si>
  <si>
    <t>经颈进路会厌肿物切除术</t>
  </si>
  <si>
    <t>00330701001000000</t>
  </si>
  <si>
    <t>经直达喉镜喉肿物摘除术</t>
  </si>
  <si>
    <t>00330701025000000</t>
  </si>
  <si>
    <t>经支撑喉镜激光声带肿物切除术</t>
  </si>
  <si>
    <t>00330701025010000</t>
  </si>
  <si>
    <t>经支撑喉镜激光喉瘢痕切除术</t>
  </si>
  <si>
    <t>00330701023000000</t>
  </si>
  <si>
    <t>喉裂开声带切除术</t>
  </si>
  <si>
    <t>00330701023000001</t>
  </si>
  <si>
    <t>喉裂开声带切除术（门诊手术）</t>
  </si>
  <si>
    <t>00330701022000001</t>
  </si>
  <si>
    <t>间接喉镜下喉肿物摘除术</t>
  </si>
  <si>
    <t>00330701022000002</t>
  </si>
  <si>
    <t>电子鼻咽喉镜下良性肿物摘除术</t>
  </si>
  <si>
    <t>00330701022000100</t>
  </si>
  <si>
    <t>经支撑喉镜喉良性肿瘤切除术</t>
  </si>
  <si>
    <t>00330701002000000</t>
  </si>
  <si>
    <t>颈侧切开喉部肿瘤切除术</t>
  </si>
  <si>
    <t>00330701022000000</t>
  </si>
  <si>
    <t>喉良性肿瘤切除术</t>
  </si>
  <si>
    <t>00330701024000000</t>
  </si>
  <si>
    <t>喉裂开肿瘤切除术</t>
  </si>
  <si>
    <t>00330701010000000</t>
  </si>
  <si>
    <t>喉次全切除术</t>
  </si>
  <si>
    <t>00330701011000000</t>
  </si>
  <si>
    <t>3/4喉切除术及喉功能重建术</t>
  </si>
  <si>
    <t>00330701012000000</t>
  </si>
  <si>
    <t>垂直半喉切除术及喉功能重建术</t>
  </si>
  <si>
    <t>00330701013000000</t>
  </si>
  <si>
    <t>垂直超半喉切除术及喉功能重建术</t>
  </si>
  <si>
    <t>00330701014000000</t>
  </si>
  <si>
    <t>声门上水平喉切除术</t>
  </si>
  <si>
    <t>00330701015000000</t>
  </si>
  <si>
    <t>梨状窝癌切除术</t>
  </si>
  <si>
    <t>00330701006000000</t>
  </si>
  <si>
    <t>喉全切除术</t>
  </si>
  <si>
    <t>00330701016000000</t>
  </si>
  <si>
    <t>全喉全下咽全食管切除+全胃上提修复术</t>
  </si>
  <si>
    <t>00330701009000000</t>
  </si>
  <si>
    <t>全喉切除咽气管吻合术</t>
  </si>
  <si>
    <t>00330701017000000</t>
  </si>
  <si>
    <t>全喉全下咽切除皮瓣修复术</t>
  </si>
  <si>
    <t>00330701008000000</t>
  </si>
  <si>
    <t>喉功能重建术</t>
  </si>
  <si>
    <t>00330701028000000</t>
  </si>
  <si>
    <t>喉气管外伤缝合成形术</t>
  </si>
  <si>
    <t>00330701021000000</t>
  </si>
  <si>
    <t>喉部神经肌蒂移植术</t>
  </si>
  <si>
    <t>00330701026000000</t>
  </si>
  <si>
    <t>经颈侧杓状软骨切除声带外移术</t>
  </si>
  <si>
    <t>00330701031000000</t>
  </si>
  <si>
    <t>甲状软骨成形术</t>
  </si>
  <si>
    <t>00330701032000000</t>
  </si>
  <si>
    <t>环杓关节间接拨动术</t>
  </si>
  <si>
    <t>00330701033000000</t>
  </si>
  <si>
    <t>环杓关节直接拨动术</t>
  </si>
  <si>
    <t>00330701030000000</t>
  </si>
  <si>
    <t>声带内移术</t>
  </si>
  <si>
    <t>00330701030000001</t>
  </si>
  <si>
    <t>经DSA声带内移术</t>
  </si>
  <si>
    <t>00330701034000000</t>
  </si>
  <si>
    <t>环甲间距缩短术</t>
  </si>
  <si>
    <t>00330701035000000</t>
  </si>
  <si>
    <t>环杓关节复位术</t>
  </si>
  <si>
    <t>00330900003000000</t>
  </si>
  <si>
    <t>颈淋巴结清扫术</t>
  </si>
  <si>
    <t>00330701018000000</t>
  </si>
  <si>
    <t>喉瘢痕狭窄扩张术</t>
  </si>
  <si>
    <t>00330701020000000</t>
  </si>
  <si>
    <t>喉狭窄成形及“T”型管置入术</t>
  </si>
  <si>
    <t>00330701029000000</t>
  </si>
  <si>
    <t>喉气管狭窄支架成形术</t>
  </si>
  <si>
    <t>00330701019000000</t>
  </si>
  <si>
    <t>喉狭窄经口扩张及喉模置入术</t>
  </si>
  <si>
    <t>00330701027000000</t>
  </si>
  <si>
    <t>喉气管裂开瘢痕切除喉模置入术</t>
  </si>
  <si>
    <t>00330611008000000</t>
  </si>
  <si>
    <t>咽瘘皮瓣修复术</t>
  </si>
  <si>
    <t>00330701036000000</t>
  </si>
  <si>
    <t xml:space="preserve">会厌脓肿切开引流术 </t>
  </si>
  <si>
    <t>00330610004000000</t>
  </si>
  <si>
    <t>扁桃体周围脓肿切开引流术</t>
  </si>
  <si>
    <t>00330611001000000</t>
  </si>
  <si>
    <t>咽后壁脓肿切开引流术</t>
  </si>
  <si>
    <t>00330701004000000</t>
  </si>
  <si>
    <t>环甲膜切开术</t>
  </si>
  <si>
    <t>00330701005000000</t>
  </si>
  <si>
    <t>气管切开术</t>
  </si>
  <si>
    <t>00330701007000000</t>
  </si>
  <si>
    <t>喉全切除术后发音管安装术</t>
  </si>
  <si>
    <t>21330000000000800</t>
  </si>
  <si>
    <t>关节镜加收</t>
  </si>
  <si>
    <t>21330000000000900</t>
  </si>
  <si>
    <t>关节镜用组合气化仪加收</t>
  </si>
  <si>
    <t>00230200055000000</t>
  </si>
  <si>
    <t>骨密度测定</t>
  </si>
  <si>
    <t>00230200055020000</t>
  </si>
  <si>
    <t>多能(双光子)骨密度测定</t>
  </si>
  <si>
    <t>00230200055000001</t>
  </si>
  <si>
    <t>骨密度测定图象融合加收</t>
  </si>
  <si>
    <t>00230200055000002</t>
  </si>
  <si>
    <t>骨密度测定采用双探头加收</t>
  </si>
  <si>
    <t>00331523009000000</t>
  </si>
  <si>
    <t>石膏固定术(小)</t>
  </si>
  <si>
    <t>00331523008000000</t>
  </si>
  <si>
    <t>石膏固定术(中)</t>
  </si>
  <si>
    <t>00331523007000000</t>
  </si>
  <si>
    <t>石膏固定术(大)</t>
  </si>
  <si>
    <t>00331523006000000</t>
  </si>
  <si>
    <t>石膏固定术(特大)</t>
  </si>
  <si>
    <t>00331523010000000</t>
  </si>
  <si>
    <t>石膏拆除术</t>
  </si>
  <si>
    <t>00330703010000000</t>
  </si>
  <si>
    <t>胸骨牵引术</t>
  </si>
  <si>
    <t>00331523003000000</t>
  </si>
  <si>
    <t>骨骼牵引术</t>
  </si>
  <si>
    <t>00331523004000000</t>
  </si>
  <si>
    <t>颅骨牵引术</t>
  </si>
  <si>
    <t>00331523005000000</t>
  </si>
  <si>
    <t>颅骨头环牵引术</t>
  </si>
  <si>
    <t>00331523002000000</t>
  </si>
  <si>
    <t>皮肤牵引术</t>
  </si>
  <si>
    <t>00331523003000001</t>
  </si>
  <si>
    <t>骨骼后续牵引治疗</t>
  </si>
  <si>
    <t>00331523004000001</t>
  </si>
  <si>
    <t>颅骨后续牵引治疗</t>
  </si>
  <si>
    <t>00331523002000001</t>
  </si>
  <si>
    <t>皮肤后续牵引治疗</t>
  </si>
  <si>
    <t>00331523001000001</t>
  </si>
  <si>
    <t>手法后续牵引治疗</t>
  </si>
  <si>
    <t>00331501023000000</t>
  </si>
  <si>
    <t>颈椎侧方入路枢椎齿突切除术</t>
  </si>
  <si>
    <t>00331501024000000</t>
  </si>
  <si>
    <t>后入路环枢椎植骨融合术</t>
  </si>
  <si>
    <t>00331501025000000</t>
  </si>
  <si>
    <t>后入路环枢减压植骨融合固定术</t>
  </si>
  <si>
    <t>00331501026000000</t>
  </si>
  <si>
    <t>后入路枢环枕融合植骨固定术</t>
  </si>
  <si>
    <t>00331501027000000</t>
  </si>
  <si>
    <t>环枢椎侧块螺钉内固定术</t>
  </si>
  <si>
    <t>00331501027000001</t>
  </si>
  <si>
    <t>颈椎侧块螺钉内固定术</t>
  </si>
  <si>
    <t>00331501027000002</t>
  </si>
  <si>
    <t>环枢椎椎弓根内固定术</t>
  </si>
  <si>
    <t>00331501025000001</t>
  </si>
  <si>
    <t>经颈前咽后入路减压植骨融合术</t>
  </si>
  <si>
    <t>00331501026000100</t>
  </si>
  <si>
    <t>后入路枢环枕融合植骨固定术加收</t>
  </si>
  <si>
    <t>00331501022000000</t>
  </si>
  <si>
    <t>颈椎钩椎关节切除术</t>
  </si>
  <si>
    <t>每节椎骨</t>
  </si>
  <si>
    <t>00331501037000000</t>
  </si>
  <si>
    <t>椎管扩大成形术</t>
  </si>
  <si>
    <t>每节椎板</t>
  </si>
  <si>
    <t>00331501036000000</t>
  </si>
  <si>
    <t>椎管扩大减压术</t>
  </si>
  <si>
    <t>00331501036000100</t>
  </si>
  <si>
    <t>椎管扩大减压术神经根管减压加收</t>
  </si>
  <si>
    <t>21330000000000700</t>
  </si>
  <si>
    <t>间盘镜加收</t>
  </si>
  <si>
    <t>00331501020000000</t>
  </si>
  <si>
    <t>颈椎间盘切除椎间植骨融合术</t>
  </si>
  <si>
    <t>每节间盘</t>
  </si>
  <si>
    <t>00331501021000000</t>
  </si>
  <si>
    <t>颈椎体次全切除植骨融合术</t>
  </si>
  <si>
    <t>00331501052000000</t>
  </si>
  <si>
    <t>脊柱椎间融合器植入植骨融合术</t>
  </si>
  <si>
    <t>00331501029000000</t>
  </si>
  <si>
    <t>胸椎融合术</t>
  </si>
  <si>
    <t>00331501029000001</t>
  </si>
  <si>
    <t>胸椎融合术+椎体后缘减压术</t>
  </si>
  <si>
    <t>00331501030000000</t>
  </si>
  <si>
    <t>胸椎腰椎前路内固定术</t>
  </si>
  <si>
    <t>00331501031000000</t>
  </si>
  <si>
    <t>胸椎横突椎板植骨融合术</t>
  </si>
  <si>
    <t>00331501033000000</t>
  </si>
  <si>
    <t>经胸腹联合切口胸椎间盘切除术</t>
  </si>
  <si>
    <t>00331501066000000</t>
  </si>
  <si>
    <t>股骨大转子下移抬高截骨术</t>
  </si>
  <si>
    <t>00331501041000000</t>
  </si>
  <si>
    <t>腰椎滑脱植骨融合术</t>
  </si>
  <si>
    <t>00331501042000000</t>
  </si>
  <si>
    <t>腰椎滑脱椎弓根螺钉固定植骨融合术</t>
  </si>
  <si>
    <t>00331501042000100</t>
  </si>
  <si>
    <t>腰椎滑脱椎弓根螺钉固定植骨融合术+椎板切除减压间盘摘除术</t>
  </si>
  <si>
    <t>00331501065000000</t>
  </si>
  <si>
    <t>经股骨转子间股骨头旋转截骨术</t>
  </si>
  <si>
    <t>00331501043000000</t>
  </si>
  <si>
    <t>腰椎横突间融合术</t>
  </si>
  <si>
    <t>00331501042010000</t>
  </si>
  <si>
    <t>脊柱滑脱复位内固定术</t>
  </si>
  <si>
    <t>00331501042010001</t>
  </si>
  <si>
    <t>脊柱滑脱复位内固定术+椎板切除减压间盘摘除术</t>
  </si>
  <si>
    <t>00331501035000000</t>
  </si>
  <si>
    <t>经皮椎间盘吸引术</t>
  </si>
  <si>
    <t>00331501040000000</t>
  </si>
  <si>
    <t>后路腰椎间盘镜椎间盘髓核摘除术（MED）</t>
  </si>
  <si>
    <t>每间盘</t>
  </si>
  <si>
    <t>00331501039000000</t>
  </si>
  <si>
    <t>经皮激光腰椎间盘摘除术</t>
  </si>
  <si>
    <t>00331501056000000</t>
  </si>
  <si>
    <t>经皮穿刺颈腰椎间盘切除术</t>
  </si>
  <si>
    <t>00331501058000000</t>
  </si>
  <si>
    <t>椎间盘微创消融术</t>
  </si>
  <si>
    <t>00331501058000100</t>
  </si>
  <si>
    <t>椎间盘微创消融术加收</t>
  </si>
  <si>
    <t>00331501058010000</t>
  </si>
  <si>
    <t>椎间盘微创摘除减压术</t>
  </si>
  <si>
    <t>00331501058010001</t>
  </si>
  <si>
    <t>椎间盘微创摘除减压术加收</t>
  </si>
  <si>
    <t>00331501058010002</t>
  </si>
  <si>
    <t>颈椎间盘微创摘除减压术</t>
  </si>
  <si>
    <t>00331501058010003</t>
  </si>
  <si>
    <t>颈椎间盘微创摘除减压术加收</t>
  </si>
  <si>
    <t>00331501058000001</t>
  </si>
  <si>
    <t>颈椎间盘微创消融术</t>
  </si>
  <si>
    <t>00331501058000002</t>
  </si>
  <si>
    <t>颈椎间盘微创消融术加收</t>
  </si>
  <si>
    <t>00311300014000000</t>
  </si>
  <si>
    <t>经皮穿刺髓核药物溶解术</t>
  </si>
  <si>
    <t>00331501061000000</t>
  </si>
  <si>
    <t>前路颈椎后凸畸形矫正术</t>
  </si>
  <si>
    <t>每椎体</t>
  </si>
  <si>
    <t>00331501019000000</t>
  </si>
  <si>
    <t>颈椎间盘切除术</t>
  </si>
  <si>
    <t>00331501067000000</t>
  </si>
  <si>
    <t>脊髓纵裂切除硬膜囊成形术</t>
  </si>
  <si>
    <t>00331501034000000</t>
  </si>
  <si>
    <t>腰椎间盘极外侧突出摘除术</t>
  </si>
  <si>
    <t>00331501038000000</t>
  </si>
  <si>
    <t>腰椎间盘突出摘除术</t>
  </si>
  <si>
    <t>SX331500002000000</t>
  </si>
  <si>
    <t>脊柱微创通道手术系统加收</t>
  </si>
  <si>
    <t>SX331501039000001</t>
  </si>
  <si>
    <t>椎间盘激光修复术</t>
  </si>
  <si>
    <t>间盘</t>
  </si>
  <si>
    <t>00331501059000000</t>
  </si>
  <si>
    <t>经皮椎体成形术</t>
  </si>
  <si>
    <t>00331501059000100</t>
  </si>
  <si>
    <t>经皮椎体成形术加收</t>
  </si>
  <si>
    <t>00331501059000001</t>
  </si>
  <si>
    <t>其他骨骼部位骨水泥注入术</t>
  </si>
  <si>
    <t>00331501060000000</t>
  </si>
  <si>
    <t>人工椎体置换术</t>
  </si>
  <si>
    <t>00331501060000100</t>
  </si>
  <si>
    <t>人工椎体置换术加收</t>
  </si>
  <si>
    <t>00331501057000000</t>
  </si>
  <si>
    <t>人工椎间盘植入术</t>
  </si>
  <si>
    <t>00331501001000000</t>
  </si>
  <si>
    <t>经口咽部环枢椎肿瘤切除术</t>
  </si>
  <si>
    <t>00331501002000000</t>
  </si>
  <si>
    <t>颈3—7椎体肿瘤切除术(前入路)</t>
  </si>
  <si>
    <t>00331501003000000</t>
  </si>
  <si>
    <t>颈1—7椎板肿瘤切除术(后入路)</t>
  </si>
  <si>
    <t>00331501004000000</t>
  </si>
  <si>
    <t>胸椎肿瘤切除术</t>
  </si>
  <si>
    <t>00331501005000000</t>
  </si>
  <si>
    <t>胸椎椎板及附件肿瘤切除术</t>
  </si>
  <si>
    <t>00331501006000000</t>
  </si>
  <si>
    <t>前路腰椎肿瘤切除术</t>
  </si>
  <si>
    <t>00331501007000000</t>
  </si>
  <si>
    <t>后路腰椎椎板及附件肿瘤切除术</t>
  </si>
  <si>
    <t>00331501008000000</t>
  </si>
  <si>
    <t>经腹膜后胸膜外胸腰段椎体肿瘤切除术(胸11-腰2)</t>
  </si>
  <si>
    <t>00331501009000000</t>
  </si>
  <si>
    <t>经腹膜后腰2-4椎体肿瘤切除术</t>
  </si>
  <si>
    <t>00331501010000000</t>
  </si>
  <si>
    <t>经腹腰5骶1椎体肿瘤切除术</t>
  </si>
  <si>
    <t>00331501011000000</t>
  </si>
  <si>
    <t>骶骨肿瘤骶骨部分切除术</t>
  </si>
  <si>
    <t>00331501012000000</t>
  </si>
  <si>
    <t>骶骨肿瘤骶骨次全切除术</t>
  </si>
  <si>
    <t>00331501013000000</t>
  </si>
  <si>
    <t>骶骨肿瘤骶骨全切除及骶骨重建术</t>
  </si>
  <si>
    <t>00331501014000000</t>
  </si>
  <si>
    <t>腰骶髂连接部肿瘤切除术</t>
  </si>
  <si>
    <t>00331501063000000</t>
  </si>
  <si>
    <t>骨盆内移截骨术</t>
  </si>
  <si>
    <t>00331503006000000</t>
  </si>
  <si>
    <t>髂骨翼肿瘤切除术</t>
  </si>
  <si>
    <t>00331503008000000</t>
  </si>
  <si>
    <t>耻骨与坐骨肿瘤切除术</t>
  </si>
  <si>
    <t>00331501016000000</t>
  </si>
  <si>
    <t>半骨盆切除人工半骨盆置换术</t>
  </si>
  <si>
    <t>00331501015000000</t>
  </si>
  <si>
    <t>半骨盆切除术</t>
  </si>
  <si>
    <t>00331503005000000</t>
  </si>
  <si>
    <t>髋臼肿瘤切除及髋关节融合术</t>
  </si>
  <si>
    <t>00331503001000001</t>
  </si>
  <si>
    <t>肩胛骨部分切除术</t>
  </si>
  <si>
    <t>00331503001000002</t>
  </si>
  <si>
    <t>肩胛骨肿瘤切除术</t>
  </si>
  <si>
    <t>00331503001000003</t>
  </si>
  <si>
    <t>肩胛骨肿瘤刮除术</t>
  </si>
  <si>
    <t>00331503001000000</t>
  </si>
  <si>
    <t>肩胛骨肿瘤肩胛骨全切除重建术</t>
  </si>
  <si>
    <t>00331503002000000</t>
  </si>
  <si>
    <t>锁骨肿瘤锁骨全切除术</t>
  </si>
  <si>
    <t>00331503002000001</t>
  </si>
  <si>
    <t>锁骨肿瘤锁骨部分切除术</t>
  </si>
  <si>
    <t>00331503002000002</t>
  </si>
  <si>
    <t>锁骨肿瘤切除术</t>
  </si>
  <si>
    <t>00331503002000003</t>
  </si>
  <si>
    <t>锁骨肿瘤刮除术</t>
  </si>
  <si>
    <t>00330703005000000</t>
  </si>
  <si>
    <t>肋骨骨髓病灶清除术</t>
  </si>
  <si>
    <t>00330703012020000</t>
  </si>
  <si>
    <t>肋骨肿瘤切除术</t>
  </si>
  <si>
    <t>00331503003000003</t>
  </si>
  <si>
    <t>肱骨肿瘤切除术</t>
  </si>
  <si>
    <t>00331503003000004</t>
  </si>
  <si>
    <t>肱骨肿瘤刮除术</t>
  </si>
  <si>
    <t>00331503003000002</t>
  </si>
  <si>
    <t>肱骨囊肿刮除及骨重建术</t>
  </si>
  <si>
    <t>00331503003000000</t>
  </si>
  <si>
    <t>肱骨肿瘤切除及骨重建术</t>
  </si>
  <si>
    <t>00331503003000001</t>
  </si>
  <si>
    <t>肱骨肿瘤切除及骨重建术加收</t>
  </si>
  <si>
    <t>00331503004000001</t>
  </si>
  <si>
    <t>尺桡骨肿瘤切除术</t>
  </si>
  <si>
    <t>00331503004000002</t>
  </si>
  <si>
    <t>尺桡骨肿瘤刮除术</t>
  </si>
  <si>
    <t>00331503004000000</t>
  </si>
  <si>
    <t>尺桡骨肿瘤切除及骨重建术</t>
  </si>
  <si>
    <t>00331503004000100</t>
  </si>
  <si>
    <t>尺桡骨肿瘤切除及骨重建术加收</t>
  </si>
  <si>
    <t>00331503009000000</t>
  </si>
  <si>
    <t>股骨上端肿瘤切除人工股骨头置换术</t>
  </si>
  <si>
    <t>00331503010000000</t>
  </si>
  <si>
    <t>股骨干肿瘤全股骨切除人工股骨置换术</t>
  </si>
  <si>
    <t>00331503012000000</t>
  </si>
  <si>
    <t>股骨下段肿瘤刮除骨腔灭活植骨术</t>
  </si>
  <si>
    <t>00331503013000000</t>
  </si>
  <si>
    <t>股骨下段肿瘤切除术</t>
  </si>
  <si>
    <t>00331503014000000</t>
  </si>
  <si>
    <t>灭活再植或异体半关节移植术</t>
  </si>
  <si>
    <t>00331503012000001</t>
  </si>
  <si>
    <t>股骨上段切除骨腔灭活植骨术</t>
  </si>
  <si>
    <t>00331503012000002</t>
  </si>
  <si>
    <t>股骨颈肿瘤切除骨腔灭活植骨术</t>
  </si>
  <si>
    <t>00331503013000001</t>
  </si>
  <si>
    <t>股骨上段肿瘤切除术</t>
  </si>
  <si>
    <t>00331503013000002</t>
  </si>
  <si>
    <t>股骨粗隆间肿瘤切除术</t>
  </si>
  <si>
    <t>00331503011000000</t>
  </si>
  <si>
    <t>股骨干肿瘤段切除与重建术</t>
  </si>
  <si>
    <t>00331512024000000</t>
  </si>
  <si>
    <t>肢体肿瘤切除重建翻修术</t>
  </si>
  <si>
    <t>00331503007000000</t>
  </si>
  <si>
    <t>髌骨肿瘤截除术</t>
  </si>
  <si>
    <t>00331503007010000</t>
  </si>
  <si>
    <t>髌骨局部切除术</t>
  </si>
  <si>
    <t>00331503015000000</t>
  </si>
  <si>
    <t>胫骨上段肿瘤刮除+植骨术</t>
  </si>
  <si>
    <t>00331503017000001</t>
  </si>
  <si>
    <t>胫腓骨肿瘤切除术</t>
  </si>
  <si>
    <t>00331503017000002</t>
  </si>
  <si>
    <t>胫腓骨肿瘤刮出术</t>
  </si>
  <si>
    <t>00331503017000000</t>
  </si>
  <si>
    <t>胫腓骨肿瘤切除+重建术</t>
  </si>
  <si>
    <t>00331518001000000</t>
  </si>
  <si>
    <t>掌指骨软骨瘤刮除植骨术</t>
  </si>
  <si>
    <t>00331503019000000</t>
  </si>
  <si>
    <t>内生软骨瘤切除术</t>
  </si>
  <si>
    <t>00331503018000000</t>
  </si>
  <si>
    <t>跟骨肿瘤病灶刮除术</t>
  </si>
  <si>
    <t>00331503021000000</t>
  </si>
  <si>
    <t>手部恶性肿瘤扩大切除术</t>
  </si>
  <si>
    <t>00331503022000000</t>
  </si>
  <si>
    <t>痛风病灶切除术</t>
  </si>
  <si>
    <t>每指</t>
  </si>
  <si>
    <t>00331503023000000</t>
  </si>
  <si>
    <t>足踝部肿物切除</t>
  </si>
  <si>
    <t>00331503018000003</t>
  </si>
  <si>
    <t>足部肿瘤切除术</t>
  </si>
  <si>
    <t>00331503018000004</t>
  </si>
  <si>
    <t>足部肿瘤刮病灶除术</t>
  </si>
  <si>
    <t>00331503018000001</t>
  </si>
  <si>
    <t>踝骨肿瘤切除术</t>
  </si>
  <si>
    <t>00331503018000002</t>
  </si>
  <si>
    <t>踝骨肿瘤病灶刮除术</t>
  </si>
  <si>
    <t>SX331518001000000</t>
  </si>
  <si>
    <t>手指巨细胞瘤切除术</t>
  </si>
  <si>
    <t>00331504006000000</t>
  </si>
  <si>
    <t>脊椎结核病灶清除术</t>
  </si>
  <si>
    <t>00331504007000000</t>
  </si>
  <si>
    <t>脊椎结核病灶清除+植骨融合术</t>
  </si>
  <si>
    <t>00331504001000000</t>
  </si>
  <si>
    <t>肘腕关节结核病灶清除术</t>
  </si>
  <si>
    <t>00331504004000000</t>
  </si>
  <si>
    <t>膝关节结核病灶清除术</t>
  </si>
  <si>
    <t>00331504002000000</t>
  </si>
  <si>
    <t>骶髂关节结核病灶清除术</t>
  </si>
  <si>
    <t>00331504003000000</t>
  </si>
  <si>
    <t>髋关节结核病灶清除术</t>
  </si>
  <si>
    <t>00331504005000000</t>
  </si>
  <si>
    <t>踝关节结核病灶清除+关节融合术</t>
  </si>
  <si>
    <t>00331504010000000</t>
  </si>
  <si>
    <t>骨髓炎病灶清除术</t>
  </si>
  <si>
    <t>00331504011000000</t>
  </si>
  <si>
    <t>骨髓炎切开引流灌洗术</t>
  </si>
  <si>
    <t>00331518002000000</t>
  </si>
  <si>
    <t>掌指结核病灶清除术</t>
  </si>
  <si>
    <t>00331518002010000</t>
  </si>
  <si>
    <t>跖结核病灶清除术</t>
  </si>
  <si>
    <t>00331518002020000</t>
  </si>
  <si>
    <t>趾结核病灶清除术</t>
  </si>
  <si>
    <t>00331501028000000</t>
  </si>
  <si>
    <t>颈椎骨折脱位手术复位植骨融合内固定术</t>
  </si>
  <si>
    <t>00331501032000000</t>
  </si>
  <si>
    <t>胸腰椎骨折切开复位内固定术</t>
  </si>
  <si>
    <t>00331501032000100</t>
  </si>
  <si>
    <t>胸腰椎骨折切开复位内固定术加收</t>
  </si>
  <si>
    <t>21331501062000000</t>
  </si>
  <si>
    <t>颈椎前路后路联合固定术</t>
  </si>
  <si>
    <t>00331505012000000</t>
  </si>
  <si>
    <t>髋臼骨折切开复位内固定术</t>
  </si>
  <si>
    <t>00331501046000000</t>
  </si>
  <si>
    <t>骨盆骨折切开复位内固定术</t>
  </si>
  <si>
    <t>00331501045000000</t>
  </si>
  <si>
    <t>骨盆骨折髂内动脉结扎术</t>
  </si>
  <si>
    <t>00331501062000000</t>
  </si>
  <si>
    <t>骨盆骨折盆腔填塞术</t>
  </si>
  <si>
    <t>00331505009000000</t>
  </si>
  <si>
    <t>孟氏骨折切开复位内固定术</t>
  </si>
  <si>
    <t>00331505010000000</t>
  </si>
  <si>
    <t>桡尺骨干骨折切开复位内固定术</t>
  </si>
  <si>
    <t>00331505011000000</t>
  </si>
  <si>
    <t>科雷氏骨折切开复位内固定术</t>
  </si>
  <si>
    <t>00331505038000000</t>
  </si>
  <si>
    <t>足部骨骨折切开复位内固定术</t>
  </si>
  <si>
    <t>00331505038000100</t>
  </si>
  <si>
    <t>足部骨骨折切开复位内固定术加收</t>
  </si>
  <si>
    <t>00331505038010000</t>
  </si>
  <si>
    <t>足部关节内骨折切开复位内固定术</t>
  </si>
  <si>
    <t>00331505038010001</t>
  </si>
  <si>
    <t>足部关节内骨折切开复位内固定术加收</t>
  </si>
  <si>
    <t>00331515001000001</t>
  </si>
  <si>
    <t>足部脚趾骨骨折切开复位内固定术</t>
  </si>
  <si>
    <t>00331505035000000</t>
  </si>
  <si>
    <t>跟骨骨折切开复位撬拨术</t>
  </si>
  <si>
    <t>00331505001000000</t>
  </si>
  <si>
    <t>锁骨骨折切开复位内固定术</t>
  </si>
  <si>
    <t>00331515001000000</t>
  </si>
  <si>
    <t>手部掌指骨骨折切开复位内固定术</t>
  </si>
  <si>
    <t>00331505006000000</t>
  </si>
  <si>
    <t>尺骨鹰嘴骨折切开复位内固定术</t>
  </si>
  <si>
    <t>00331505008000000</t>
  </si>
  <si>
    <t>桡骨头骨折切开复位内固定术</t>
  </si>
  <si>
    <t>00331505008010000</t>
  </si>
  <si>
    <t>桡骨颈部骨折切开复位内固定术</t>
  </si>
  <si>
    <t>00331505022000000</t>
  </si>
  <si>
    <t>内外踝骨折切开复位内固定术</t>
  </si>
  <si>
    <t>00331505023000000</t>
  </si>
  <si>
    <t>三踝骨折切开复位内固定术</t>
  </si>
  <si>
    <t>00331505036000000</t>
  </si>
  <si>
    <t>距骨骨折伴脱位切开复位内固定术</t>
  </si>
  <si>
    <t>00331515005000000</t>
  </si>
  <si>
    <t>舟骨骨折切开复位内固定术</t>
  </si>
  <si>
    <t>00331515008000000</t>
  </si>
  <si>
    <t>月骨骨折切开复位内固定术</t>
  </si>
  <si>
    <t>00331515002000000</t>
  </si>
  <si>
    <t>手部关节内骨折切开复位内固定术</t>
  </si>
  <si>
    <t>00331515003000000</t>
  </si>
  <si>
    <t>本氏(Bennet)骨折切开复位内固定术</t>
  </si>
  <si>
    <t>00331509007000000</t>
  </si>
  <si>
    <t>先天性锁骨假关节切除植骨内固定术</t>
  </si>
  <si>
    <t>00331505019000000</t>
  </si>
  <si>
    <t>髌骨骨折切开复位内固定术</t>
  </si>
  <si>
    <t>00331505025000000</t>
  </si>
  <si>
    <t>尺桡骨骨折不愈合切开植骨内固定术</t>
  </si>
  <si>
    <t>00331505039000000</t>
  </si>
  <si>
    <t>腓骨骨折切开复位内固定术</t>
  </si>
  <si>
    <t>00331515009000000</t>
  </si>
  <si>
    <t>月骨骨折不愈合血管植入术</t>
  </si>
  <si>
    <t>00331515009010000</t>
  </si>
  <si>
    <t>月骨骨折缺血坏死血管植入术</t>
  </si>
  <si>
    <t>00331515007000000</t>
  </si>
  <si>
    <t>舟骨骨折不愈合植骨术</t>
  </si>
  <si>
    <t>00331515006000000</t>
  </si>
  <si>
    <t>舟骨骨折不愈合切开植骨术+桡骨茎突切除术</t>
  </si>
  <si>
    <t>00331505001000001</t>
  </si>
  <si>
    <t>肩胛骨骨折切开复位内固定术</t>
  </si>
  <si>
    <t>00331505027000000</t>
  </si>
  <si>
    <t>胫腓骨骨折不愈合切开植骨内固定术</t>
  </si>
  <si>
    <t>00331505002000000</t>
  </si>
  <si>
    <t>肱骨近端骨折切开复位内固定术</t>
  </si>
  <si>
    <t>00331505003000000</t>
  </si>
  <si>
    <t>肱骨干骨折切开复位内固定术</t>
  </si>
  <si>
    <t>00331505004000000</t>
  </si>
  <si>
    <t>肱骨骨折切开复位内固定术</t>
  </si>
  <si>
    <t>00331505005000000</t>
  </si>
  <si>
    <t>肱骨内外髁骨折切开复位内固定术</t>
  </si>
  <si>
    <t>00331505024000000</t>
  </si>
  <si>
    <t>肱骨干骨折不愈合切开植骨内固定术</t>
  </si>
  <si>
    <t>00331505013000000</t>
  </si>
  <si>
    <t>股骨颈骨折闭合复位内固定术</t>
  </si>
  <si>
    <t>00331505014000000</t>
  </si>
  <si>
    <t>股骨颈骨折切开复位内固定术</t>
  </si>
  <si>
    <t>00331505014000001</t>
  </si>
  <si>
    <t>股骨头骨折切开复位内固定术</t>
  </si>
  <si>
    <t>00331505015000000</t>
  </si>
  <si>
    <t>股骨颈骨折切开复位内固定+带血管蒂或肌蒂骨移植术</t>
  </si>
  <si>
    <t>00331505016000000</t>
  </si>
  <si>
    <t>股骨转子间骨折内固定术</t>
  </si>
  <si>
    <t>00331505017000000</t>
  </si>
  <si>
    <t>股骨干骨折切开复位内固定术</t>
  </si>
  <si>
    <t>00331505018000000</t>
  </si>
  <si>
    <t>股骨髁间骨折切开复位内固定术</t>
  </si>
  <si>
    <t>00331505026000000</t>
  </si>
  <si>
    <t>股骨干骨折不愈合切开植骨内固定术</t>
  </si>
  <si>
    <t>00331508004000000</t>
  </si>
  <si>
    <t>股骨头骨骺滑脱牵引复位内固定术</t>
  </si>
  <si>
    <t>00331505021000000</t>
  </si>
  <si>
    <t>胫骨干骨折切开复位内固定术</t>
  </si>
  <si>
    <t>00331505020000000</t>
  </si>
  <si>
    <t>胫骨髁间骨折切开复位内固定术</t>
  </si>
  <si>
    <t>00331509008000000</t>
  </si>
  <si>
    <t>先天性胫骨假关节切除带血管腓骨移植术</t>
  </si>
  <si>
    <t>00331515004000000</t>
  </si>
  <si>
    <t>腕骨骨折切开复位内固定术</t>
  </si>
  <si>
    <t>00330703006000000</t>
  </si>
  <si>
    <t>肋骨切除术</t>
  </si>
  <si>
    <t>00330703011000000</t>
  </si>
  <si>
    <t>胸壁外伤扩创术</t>
  </si>
  <si>
    <t>00331501047000000</t>
  </si>
  <si>
    <t>强直性脊柱炎多椎截骨矫正术</t>
  </si>
  <si>
    <t>00331501047000100</t>
  </si>
  <si>
    <t>强直性脊柱炎多椎截骨矫正术增加内固定加收</t>
  </si>
  <si>
    <t>00331501048000000</t>
  </si>
  <si>
    <t>脊柱侧弯矫正术(后路)</t>
  </si>
  <si>
    <t>00331501048000200</t>
  </si>
  <si>
    <t>脊柱侧弯矫正术(后路）+植骨融合术</t>
  </si>
  <si>
    <t>00331501049000000</t>
  </si>
  <si>
    <t>前路脊柱松解融合术</t>
  </si>
  <si>
    <t>00331501049000200</t>
  </si>
  <si>
    <t>前路脊柱松解融合术+植骨融合术</t>
  </si>
  <si>
    <t>00331501050000000</t>
  </si>
  <si>
    <t>前路脊柱旋转侧弯矫正术</t>
  </si>
  <si>
    <t>00331501050000200</t>
  </si>
  <si>
    <t>前路脊柱旋转侧弯矫正术+植骨融合术</t>
  </si>
  <si>
    <t>00331501051000000</t>
  </si>
  <si>
    <t>前路脊柱骨骺阻滞术后路椎板凸侧融合术</t>
  </si>
  <si>
    <t>00331501051000100</t>
  </si>
  <si>
    <t>前路脊柱骨骺阻滞术后路椎板凸侧融合术（开胸手术）</t>
  </si>
  <si>
    <t>00331501051000200</t>
  </si>
  <si>
    <t>前路脊柱骨骺阻滞术后路椎板凸侧植骨融合术</t>
  </si>
  <si>
    <t>00331501051000201</t>
  </si>
  <si>
    <t>前路脊柱骨骺阻滞术后路椎板凸侧植骨融合术（开胸手术）</t>
  </si>
  <si>
    <t>00331501053000000</t>
  </si>
  <si>
    <t>脊柱半椎体切除术</t>
  </si>
  <si>
    <t>00331501055000000</t>
  </si>
  <si>
    <t>滑板椎弓根钉复位植骨内固定术</t>
  </si>
  <si>
    <t>00331501055000001</t>
  </si>
  <si>
    <t>颈椎椎弓根钉内固定术</t>
  </si>
  <si>
    <t>00331501055000100</t>
  </si>
  <si>
    <t>滑板椎弓根钉复位植骨内固定术(松解手术)</t>
  </si>
  <si>
    <t>00331501055000200</t>
  </si>
  <si>
    <t>滑板椎弓根钉复位植骨内固定术(椎板切除减压)</t>
  </si>
  <si>
    <t>00331522011000000</t>
  </si>
  <si>
    <t>格林先天性高肩胛症手术</t>
  </si>
  <si>
    <t>00331506007000000</t>
  </si>
  <si>
    <t>先天性髋关节脱位切开复位骨盆截骨内固定术</t>
  </si>
  <si>
    <t>00331506008000000</t>
  </si>
  <si>
    <t>先天性髋关节脱位切开复位骨盆截骨股骨上端截骨内固定术</t>
  </si>
  <si>
    <t>00331501064000000</t>
  </si>
  <si>
    <t>骨盆髋臼周围截骨术</t>
  </si>
  <si>
    <t>00331510004000000</t>
  </si>
  <si>
    <t>髋臼旋转截骨术</t>
  </si>
  <si>
    <t>00331512008000000</t>
  </si>
  <si>
    <t>髋臼造盖成形术</t>
  </si>
  <si>
    <t>00331505028000000</t>
  </si>
  <si>
    <t>开放折骨术</t>
  </si>
  <si>
    <t>00331505029000000</t>
  </si>
  <si>
    <t>肱骨髁上骨折畸形愈合截骨矫形术</t>
  </si>
  <si>
    <t>00331505030000000</t>
  </si>
  <si>
    <t>尺骨上1/3骨折畸形愈合+桡骨小头脱位矫正术</t>
  </si>
  <si>
    <t>00331505031000000</t>
  </si>
  <si>
    <t>桡骨下端骨折畸形愈合矫正术</t>
  </si>
  <si>
    <t>00331505032000000</t>
  </si>
  <si>
    <t>股骨干骨折畸形愈合截骨内固定术</t>
  </si>
  <si>
    <t>00331505033000000</t>
  </si>
  <si>
    <t>胫腓骨骨折畸形愈合截骨矫形术</t>
  </si>
  <si>
    <t>00331505034000000</t>
  </si>
  <si>
    <t>踝部骨折畸形愈合矫形术</t>
  </si>
  <si>
    <t>00331510001000000</t>
  </si>
  <si>
    <t>肘关节截骨术</t>
  </si>
  <si>
    <t>00331510002000000</t>
  </si>
  <si>
    <t>腕关节截骨术</t>
  </si>
  <si>
    <t>00331510005000000</t>
  </si>
  <si>
    <t>股骨颈楔形截骨术</t>
  </si>
  <si>
    <t>00331510007000000</t>
  </si>
  <si>
    <t>股骨下端截骨术</t>
  </si>
  <si>
    <t>00331510008000000</t>
  </si>
  <si>
    <t>胫骨高位截骨术</t>
  </si>
  <si>
    <t>00331510010000000</t>
  </si>
  <si>
    <t>成骨不全多段截骨术</t>
  </si>
  <si>
    <t>00331512004000000</t>
  </si>
  <si>
    <t>尺骨短缩术</t>
  </si>
  <si>
    <t>00331512006000000</t>
  </si>
  <si>
    <t>桡骨短缩术</t>
  </si>
  <si>
    <t>00331512011000000</t>
  </si>
  <si>
    <t>膝内外翻定点闭式折骨术</t>
  </si>
  <si>
    <t>00331510003000000</t>
  </si>
  <si>
    <t>掌骨截骨矫形术</t>
  </si>
  <si>
    <t>00331510009000000</t>
  </si>
  <si>
    <t>跟骨截骨术</t>
  </si>
  <si>
    <t>00331510003000001</t>
  </si>
  <si>
    <t>跖骨截骨矫形术</t>
  </si>
  <si>
    <t>00331519008000000</t>
  </si>
  <si>
    <t>多指切除术</t>
  </si>
  <si>
    <t>00331519001000000</t>
  </si>
  <si>
    <t>并指分离术</t>
  </si>
  <si>
    <t>每个指、蹼</t>
  </si>
  <si>
    <t>00331519001010000</t>
  </si>
  <si>
    <t>并趾分离术</t>
  </si>
  <si>
    <t>每个趾、蹼</t>
  </si>
  <si>
    <t>00331521040000000</t>
  </si>
  <si>
    <t>指蹼成形术</t>
  </si>
  <si>
    <t>每个指蹼</t>
  </si>
  <si>
    <t>00331521040010000</t>
  </si>
  <si>
    <t>趾蹼成形术</t>
  </si>
  <si>
    <t>每个趾蹼</t>
  </si>
  <si>
    <t>00331519012000000</t>
  </si>
  <si>
    <t>指关节成形术</t>
  </si>
  <si>
    <t>00331519012010000</t>
  </si>
  <si>
    <t>趾关节成形术</t>
  </si>
  <si>
    <t>每趾</t>
  </si>
  <si>
    <t>00331520002000001</t>
  </si>
  <si>
    <t>指间或掌指关节囊修补术</t>
  </si>
  <si>
    <t>SX331519001000000</t>
  </si>
  <si>
    <t>手指畸形截骨内固定术</t>
  </si>
  <si>
    <t>00331521039000000</t>
  </si>
  <si>
    <t>虎口成形术</t>
  </si>
  <si>
    <t>00331512015000000</t>
  </si>
  <si>
    <t>拇外翻矫形术</t>
  </si>
  <si>
    <t>00331512016000000</t>
  </si>
  <si>
    <t>第二跖骨头修整成形术</t>
  </si>
  <si>
    <t>00331512014000000</t>
  </si>
  <si>
    <t>先天性马蹄内翻足松解术</t>
  </si>
  <si>
    <t>00331519010000000</t>
  </si>
  <si>
    <t>严重烧伤手畸形矫正术</t>
  </si>
  <si>
    <t>00331519011000000</t>
  </si>
  <si>
    <t>手部瘢痕挛缩整形术</t>
  </si>
  <si>
    <t>每个部位或每侧</t>
  </si>
  <si>
    <t>00331519017000000</t>
  </si>
  <si>
    <t>掌指关节成形术</t>
  </si>
  <si>
    <t>00331519017010000</t>
  </si>
  <si>
    <t>跖趾关节成形术</t>
  </si>
  <si>
    <t>00331512003000000</t>
  </si>
  <si>
    <t>尺骨延长术</t>
  </si>
  <si>
    <t>00331512005000000</t>
  </si>
  <si>
    <t>桡骨延长术</t>
  </si>
  <si>
    <t>00331512007000000</t>
  </si>
  <si>
    <t>股骨延长术</t>
  </si>
  <si>
    <t>00331512018000000</t>
  </si>
  <si>
    <t>胫骨延长术</t>
  </si>
  <si>
    <t xml:space="preserve">次  </t>
  </si>
  <si>
    <t>00331512026000000</t>
  </si>
  <si>
    <t>伊氏架矫形术</t>
  </si>
  <si>
    <t>00420000006000000</t>
  </si>
  <si>
    <t>骨折外固定架固定术</t>
  </si>
  <si>
    <t>00420000010000000</t>
  </si>
  <si>
    <t>外固定架使用</t>
  </si>
  <si>
    <t>00420000006010000</t>
  </si>
  <si>
    <t>骨折外固定架复查调整</t>
  </si>
  <si>
    <t>00420000012000000</t>
  </si>
  <si>
    <t>外固定调整术</t>
  </si>
  <si>
    <t>00420000012010000</t>
  </si>
  <si>
    <t>骨折外固定架调整术</t>
  </si>
  <si>
    <t>00420000012020000</t>
  </si>
  <si>
    <t>骨折外固定夹板调整</t>
  </si>
  <si>
    <t>00420000014000000</t>
  </si>
  <si>
    <t>外固定架拆除术</t>
  </si>
  <si>
    <t>00420000006000001</t>
  </si>
  <si>
    <t>骨折外固定架拆除术</t>
  </si>
  <si>
    <t>00331505037000000</t>
  </si>
  <si>
    <t>骨折内固定装置取出术</t>
  </si>
  <si>
    <t>部位</t>
  </si>
  <si>
    <t>00331505037000001</t>
  </si>
  <si>
    <t>骨折内固定装置取出术加收</t>
  </si>
  <si>
    <t>00331501054000000</t>
  </si>
  <si>
    <t>脊柱内固定物取出术</t>
  </si>
  <si>
    <t>00331504008000000</t>
  </si>
  <si>
    <t>股骨头坏死病灶刮除植骨术</t>
  </si>
  <si>
    <t>00331504009000000</t>
  </si>
  <si>
    <t>桡骨远端切除腓骨移植成形术</t>
  </si>
  <si>
    <t>00331512009000000</t>
  </si>
  <si>
    <t>血管束移植充填植骨术</t>
  </si>
  <si>
    <t>00331509002000000</t>
  </si>
  <si>
    <t>髌股关节病变软骨切除软骨下钻孔术</t>
  </si>
  <si>
    <t>00331510006000000</t>
  </si>
  <si>
    <t>股骨头钻孔及植骨术</t>
  </si>
  <si>
    <t>00331510006010000</t>
  </si>
  <si>
    <t>股骨头单纯钻孔减压术</t>
  </si>
  <si>
    <t>00331523012000000</t>
  </si>
  <si>
    <t>跟骨钻孔术</t>
  </si>
  <si>
    <t>00330703007000000</t>
  </si>
  <si>
    <t>肋软骨取骨术</t>
  </si>
  <si>
    <t>00331509001000000</t>
  </si>
  <si>
    <t>尺骨头桡骨茎突切除术</t>
  </si>
  <si>
    <t>00331509003000000</t>
  </si>
  <si>
    <t>髌骨切除+股四头肌修补术</t>
  </si>
  <si>
    <t>00331509004000000</t>
  </si>
  <si>
    <t>移植取骨术</t>
  </si>
  <si>
    <t>00331509005000000</t>
  </si>
  <si>
    <t>髂骨取骨术</t>
  </si>
  <si>
    <t>00331509006000000</t>
  </si>
  <si>
    <t>取腓骨术</t>
  </si>
  <si>
    <t>00331509006000100</t>
  </si>
  <si>
    <t>取腓骨术(带血管）</t>
  </si>
  <si>
    <t>00331509009000000</t>
  </si>
  <si>
    <t>距骨切除术</t>
  </si>
  <si>
    <t>00331518003000000</t>
  </si>
  <si>
    <t>近排腕骨切除术</t>
  </si>
  <si>
    <t>00331518004000000</t>
  </si>
  <si>
    <t>舟骨近端切除术</t>
  </si>
  <si>
    <t>00331518005000000</t>
  </si>
  <si>
    <t>月骨摘除术</t>
  </si>
  <si>
    <t>00331518006000000</t>
  </si>
  <si>
    <t>月骨摘除肌腱填塞术</t>
  </si>
  <si>
    <t>00331518008000000</t>
  </si>
  <si>
    <t>大多角骨切除术及肌腱手术</t>
  </si>
  <si>
    <t>00331505007000000</t>
  </si>
  <si>
    <t>桡骨头切除术</t>
  </si>
  <si>
    <t>00331512017000000</t>
  </si>
  <si>
    <t>骨移植术</t>
  </si>
  <si>
    <t>00331501044000000</t>
  </si>
  <si>
    <t>腰椎骶化横突切除术</t>
  </si>
  <si>
    <t>00331514001000000</t>
  </si>
  <si>
    <t>断肢再植术</t>
  </si>
  <si>
    <t>每肢</t>
  </si>
  <si>
    <t>00331514001000100</t>
  </si>
  <si>
    <t>断肢再植术（显微手术）</t>
  </si>
  <si>
    <t>00331519002000000</t>
  </si>
  <si>
    <t>拇指再造术Ⅰ型</t>
  </si>
  <si>
    <t>00331519003000000</t>
  </si>
  <si>
    <t>拇指再造术Ⅱ型</t>
  </si>
  <si>
    <t>00331519004000000</t>
  </si>
  <si>
    <t>拇指再造术Ⅲ型</t>
  </si>
  <si>
    <t>00331519005000000</t>
  </si>
  <si>
    <t>拇指再造术Ⅳ型</t>
  </si>
  <si>
    <t>00331519006000000</t>
  </si>
  <si>
    <t>拇指再造术Ⅴ型</t>
  </si>
  <si>
    <t>00331519007000000</t>
  </si>
  <si>
    <t>拇指再造术Ⅵ型</t>
  </si>
  <si>
    <t>00331519009000000</t>
  </si>
  <si>
    <t>其他指再造术</t>
  </si>
  <si>
    <t>00331514002000000</t>
  </si>
  <si>
    <t>断指再植术</t>
  </si>
  <si>
    <t>00331514002000100</t>
  </si>
  <si>
    <t>断指再植术（显微手术）</t>
  </si>
  <si>
    <t>00331514002010000</t>
  </si>
  <si>
    <t>断趾再植术</t>
  </si>
  <si>
    <t>00331514002010001</t>
  </si>
  <si>
    <t>断趾再植术（显微手术）</t>
  </si>
  <si>
    <t>00331513001000000</t>
  </si>
  <si>
    <t>肩关节离断术</t>
  </si>
  <si>
    <t>00331513002000000</t>
  </si>
  <si>
    <t>肩胛胸部间离断术</t>
  </si>
  <si>
    <t>00331513004000000</t>
  </si>
  <si>
    <t>上肢截肢术</t>
  </si>
  <si>
    <t>00331513005000000</t>
  </si>
  <si>
    <t>髋关节离断术</t>
  </si>
  <si>
    <t>00331513006000000</t>
  </si>
  <si>
    <t>大腿截肢术</t>
  </si>
  <si>
    <t>00331513007000000</t>
  </si>
  <si>
    <t>小腿截肢术</t>
  </si>
  <si>
    <t>00331513008000000</t>
  </si>
  <si>
    <t>足踝部截肢术</t>
  </si>
  <si>
    <t>00331603006000000</t>
  </si>
  <si>
    <t>深度烧伤截肢术</t>
  </si>
  <si>
    <t>每个肢体</t>
  </si>
  <si>
    <t>00331603006010000</t>
  </si>
  <si>
    <t>冻伤截肢术</t>
  </si>
  <si>
    <t>00331513003000000</t>
  </si>
  <si>
    <t>残端修整术</t>
  </si>
  <si>
    <t>00331513009000000</t>
  </si>
  <si>
    <t>截指术</t>
  </si>
  <si>
    <t>00331513009000001</t>
  </si>
  <si>
    <t>截指术加收</t>
  </si>
  <si>
    <t>00331513009010000</t>
  </si>
  <si>
    <t>截趾术</t>
  </si>
  <si>
    <t>00331513009010001</t>
  </si>
  <si>
    <t>截趾术加收</t>
  </si>
  <si>
    <t>00331603034000000</t>
  </si>
  <si>
    <t>烧伤截指术</t>
  </si>
  <si>
    <t>三个</t>
  </si>
  <si>
    <t>00331603034010000</t>
  </si>
  <si>
    <t>烧伤截趾术</t>
  </si>
  <si>
    <t>00331603034020000</t>
  </si>
  <si>
    <t>冻伤截指(趾)术</t>
  </si>
  <si>
    <t>00331513003000001</t>
  </si>
  <si>
    <t>残端咬骨术</t>
  </si>
  <si>
    <t>00331506018000000</t>
  </si>
  <si>
    <t>关节滑膜切除术(小)</t>
  </si>
  <si>
    <t>00331506018010000</t>
  </si>
  <si>
    <t>掌指关节滑膜切除术</t>
  </si>
  <si>
    <t>00331506018020000</t>
  </si>
  <si>
    <t>指间关节滑膜切除术</t>
  </si>
  <si>
    <t>00331506018030000</t>
  </si>
  <si>
    <t>趾间关节滑膜切除术</t>
  </si>
  <si>
    <t>00331506015000001</t>
  </si>
  <si>
    <t>其他关节单纯游离体摘除术</t>
  </si>
  <si>
    <t>00331506020090000</t>
  </si>
  <si>
    <t>足关节清理术</t>
  </si>
  <si>
    <t>00331506020000001</t>
  </si>
  <si>
    <t>其他关节清理术</t>
  </si>
  <si>
    <t>00331506016000000</t>
  </si>
  <si>
    <t>关节滑膜切除术(大)</t>
  </si>
  <si>
    <t>00331506016010000</t>
  </si>
  <si>
    <t>膝关节滑膜切除术</t>
  </si>
  <si>
    <t>00331506016020000</t>
  </si>
  <si>
    <t>肩关节滑膜切除术</t>
  </si>
  <si>
    <t>00331506016030000</t>
  </si>
  <si>
    <t>髋关节滑膜切除术</t>
  </si>
  <si>
    <t>00331506017000000</t>
  </si>
  <si>
    <t>关节滑膜切除术(中)</t>
  </si>
  <si>
    <t>00331506017010000</t>
  </si>
  <si>
    <t>肘关节滑膜切除术</t>
  </si>
  <si>
    <t>00331506017020000</t>
  </si>
  <si>
    <t>腕关节滑膜切除术</t>
  </si>
  <si>
    <t>00331506017030000</t>
  </si>
  <si>
    <t>踝关节滑膜切除术</t>
  </si>
  <si>
    <t>00331506019000000</t>
  </si>
  <si>
    <t>半月板切除术</t>
  </si>
  <si>
    <t>00331506015000000</t>
  </si>
  <si>
    <t>膝关节单纯游离体摘除术</t>
  </si>
  <si>
    <t>00331512021000000</t>
  </si>
  <si>
    <t>关节镜下膝髁间窝成形术</t>
  </si>
  <si>
    <t>00331506019000001</t>
  </si>
  <si>
    <t>半月板缝合术</t>
  </si>
  <si>
    <t>00331506024000000</t>
  </si>
  <si>
    <t>关节骨软骨损伤修复术</t>
  </si>
  <si>
    <t>00331506024010000</t>
  </si>
  <si>
    <t>关节骨软骨移植术</t>
  </si>
  <si>
    <t>00331506024020000</t>
  </si>
  <si>
    <t>关节骨膜移植术</t>
  </si>
  <si>
    <t>00331506024030000</t>
  </si>
  <si>
    <t>关节骨软骨损伤微骨折术</t>
  </si>
  <si>
    <t>00331520002000000</t>
  </si>
  <si>
    <t>指间或掌指关节侧副韧带修补术</t>
  </si>
  <si>
    <t>21331506026000000</t>
  </si>
  <si>
    <t>关节囊修补术</t>
  </si>
  <si>
    <t>每关节</t>
  </si>
  <si>
    <t>21331506026000100</t>
  </si>
  <si>
    <t>关节囊修补术加收</t>
  </si>
  <si>
    <t>00331506011000000</t>
  </si>
  <si>
    <t>急性膝关节前后十字韧带破裂修补术</t>
  </si>
  <si>
    <t>00331506012000000</t>
  </si>
  <si>
    <t>膝关节陈旧性前十字韧带重建术</t>
  </si>
  <si>
    <t>00331506012000001</t>
  </si>
  <si>
    <t>膝关节急性前十字韧带重建术</t>
  </si>
  <si>
    <t>00331506013000000</t>
  </si>
  <si>
    <t>膝关节陈旧性后十字韧带重建术</t>
  </si>
  <si>
    <t>00331506013000001</t>
  </si>
  <si>
    <t>膝关节急性后十字韧带重建术</t>
  </si>
  <si>
    <t>00331506014000000</t>
  </si>
  <si>
    <t>膝关节陈旧性内外侧副韧带重建术</t>
  </si>
  <si>
    <t>00331506014000001</t>
  </si>
  <si>
    <t>膝关节急性内外侧副韧带重建术</t>
  </si>
  <si>
    <t>00331506021000000</t>
  </si>
  <si>
    <t>踝关节稳定手术</t>
  </si>
  <si>
    <t>00331506023000000</t>
  </si>
  <si>
    <t>肘关节稳定术</t>
  </si>
  <si>
    <t>00331512010000000</t>
  </si>
  <si>
    <t>股四头肌成形术</t>
  </si>
  <si>
    <t>00331512012000000</t>
  </si>
  <si>
    <t>髌韧带成形术</t>
  </si>
  <si>
    <t>00331512012050000</t>
  </si>
  <si>
    <t>髌韧带人工髌腱成形术</t>
  </si>
  <si>
    <t>00331512013000000</t>
  </si>
  <si>
    <t>胫骨结节垫高术</t>
  </si>
  <si>
    <t>00331512022000000</t>
  </si>
  <si>
    <t>伸膝装置重建术</t>
  </si>
  <si>
    <t>00331521010000000</t>
  </si>
  <si>
    <t>肩外展功能重建术</t>
  </si>
  <si>
    <t>00331506010000000</t>
  </si>
  <si>
    <t>髌骨脱位成形术</t>
  </si>
  <si>
    <t>00331522008000000</t>
  </si>
  <si>
    <t>肩袖破裂修补术</t>
  </si>
  <si>
    <t>00331522008010000</t>
  </si>
  <si>
    <t>前盂唇损伤修补术（BANKART）</t>
  </si>
  <si>
    <t>00331522008020000</t>
  </si>
  <si>
    <t>上盂唇撕裂修复术（SLAP）</t>
  </si>
  <si>
    <t>00331522008030000</t>
  </si>
  <si>
    <t>盂唇修复术</t>
  </si>
  <si>
    <t>00331506020000000</t>
  </si>
  <si>
    <t>膝关节清理术</t>
  </si>
  <si>
    <t>00331506020050000</t>
  </si>
  <si>
    <t>踝关节清理术</t>
  </si>
  <si>
    <t>00331506020060000</t>
  </si>
  <si>
    <t>肩关节清理术</t>
  </si>
  <si>
    <t>00331506020070000</t>
  </si>
  <si>
    <t>肘关节清理术</t>
  </si>
  <si>
    <t>00331506020080000</t>
  </si>
  <si>
    <t>髋关节清理术</t>
  </si>
  <si>
    <t>00331518007000000</t>
  </si>
  <si>
    <t>腕关节三角软骨复合体重建术</t>
  </si>
  <si>
    <t>00331521012000000</t>
  </si>
  <si>
    <t>伸腕功能重建术</t>
  </si>
  <si>
    <t>00331521029000000</t>
  </si>
  <si>
    <t>屈伸指肌腱吻合术</t>
  </si>
  <si>
    <t>每根肌腱</t>
  </si>
  <si>
    <t>00331521030000000</t>
  </si>
  <si>
    <t>屈伸指肌腱游离移植术</t>
  </si>
  <si>
    <t>00331521031000000</t>
  </si>
  <si>
    <t>滑车重建术</t>
  </si>
  <si>
    <t>00331521032000000</t>
  </si>
  <si>
    <t>锤状指修复术</t>
  </si>
  <si>
    <t>00331521033000000</t>
  </si>
  <si>
    <t>侧腱束劈开交叉缝合术</t>
  </si>
  <si>
    <t>00331521034000000</t>
  </si>
  <si>
    <t>“钮孔畸形”游离肌腱固定术</t>
  </si>
  <si>
    <t>00331521013000000</t>
  </si>
  <si>
    <t>伸指功能重建术</t>
  </si>
  <si>
    <t>00331521014000000</t>
  </si>
  <si>
    <t>屈指功能重建术</t>
  </si>
  <si>
    <t>00331516001000000</t>
  </si>
  <si>
    <t>手部关节脱位切开复位内固定术</t>
  </si>
  <si>
    <t>00331516001010000</t>
  </si>
  <si>
    <t>腕掌关节脱位切开复位内固定术</t>
  </si>
  <si>
    <t>00331516001020000</t>
  </si>
  <si>
    <t>掌指关节脱位切开复位内固定术</t>
  </si>
  <si>
    <t>00331516001030000</t>
  </si>
  <si>
    <t>指间关节脱位切开复位内固定术</t>
  </si>
  <si>
    <t>00331516001000001</t>
  </si>
  <si>
    <t>足部关节脱位切开复位内固定术</t>
  </si>
  <si>
    <t>00331516001000002</t>
  </si>
  <si>
    <t>胫距关节脱位切开复位内固定术</t>
  </si>
  <si>
    <t>00331516001000003</t>
  </si>
  <si>
    <t>跖趾关节脱位切开复位内固定术</t>
  </si>
  <si>
    <t>00331516001000004</t>
  </si>
  <si>
    <t>趾间关节脱位切开复位内固定术</t>
  </si>
  <si>
    <t>00331506001000000</t>
  </si>
  <si>
    <t>肩锁关节脱位切开复位内固定术</t>
  </si>
  <si>
    <t>00331506001010000</t>
  </si>
  <si>
    <t>肩锁关节成形术</t>
  </si>
  <si>
    <t>00331506001020000</t>
  </si>
  <si>
    <t>肩锁关节韧带重建术</t>
  </si>
  <si>
    <t>00331506025000000</t>
  </si>
  <si>
    <t>麻醉下活动关节检查术</t>
  </si>
  <si>
    <t>00331506002000000</t>
  </si>
  <si>
    <t>肩关节脱位切开复位术</t>
  </si>
  <si>
    <t>00331506003000000</t>
  </si>
  <si>
    <t>陈旧性肘关节前脱位切开复位术</t>
  </si>
  <si>
    <t>00331506003010000</t>
  </si>
  <si>
    <t>桡骨小头脱位切开复位术</t>
  </si>
  <si>
    <t>00331506004000000</t>
  </si>
  <si>
    <t>髋关节脱位切开复位术</t>
  </si>
  <si>
    <t>00331506006000000</t>
  </si>
  <si>
    <t>先天性髋关节脱位切开复位石膏固定术</t>
  </si>
  <si>
    <t>00331506002000001</t>
  </si>
  <si>
    <t>肘关节脱位切开复位术</t>
  </si>
  <si>
    <t>00331519016000000</t>
  </si>
  <si>
    <t>手部关节松解术</t>
  </si>
  <si>
    <t>每个关节</t>
  </si>
  <si>
    <t>00331512025000000</t>
  </si>
  <si>
    <t>先天性束带综合征矫形术</t>
  </si>
  <si>
    <t>00331521018000000</t>
  </si>
  <si>
    <t>掌筋膜挛缩切除术</t>
  </si>
  <si>
    <t>00331521019000000</t>
  </si>
  <si>
    <t>侧副韧带挛缩切断术</t>
  </si>
  <si>
    <t>00331521020000000</t>
  </si>
  <si>
    <t>小肌肉挛缩切断术</t>
  </si>
  <si>
    <t>21331506029000000</t>
  </si>
  <si>
    <t>关节粘连松解术</t>
  </si>
  <si>
    <t>00331521016000000</t>
  </si>
  <si>
    <t>缩窄性腱鞘炎切开术</t>
  </si>
  <si>
    <t>00331512002000000</t>
  </si>
  <si>
    <t>网球肘松解术</t>
  </si>
  <si>
    <t>00331506009000000</t>
  </si>
  <si>
    <t>髌骨半脱位外侧切开松解术</t>
  </si>
  <si>
    <t>00331512019000000</t>
  </si>
  <si>
    <t>上肢关节松解术</t>
  </si>
  <si>
    <t>00331512020000000</t>
  </si>
  <si>
    <t>下肢关节松解术</t>
  </si>
  <si>
    <t>00331517003000000</t>
  </si>
  <si>
    <t>指间关节融合术</t>
  </si>
  <si>
    <t>00331511004000000</t>
  </si>
  <si>
    <t>跟骰关节融合术</t>
  </si>
  <si>
    <t>00331511005000000</t>
  </si>
  <si>
    <t>近侧趾间关节融合术</t>
  </si>
  <si>
    <t>00331511005010000</t>
  </si>
  <si>
    <t>近节趾骨背侧契形截骨手术</t>
  </si>
  <si>
    <t>00331511005000001</t>
  </si>
  <si>
    <t>趾间关节成形术</t>
  </si>
  <si>
    <t>00331517002000000</t>
  </si>
  <si>
    <t>腕关节融合术</t>
  </si>
  <si>
    <t>00331511001000000</t>
  </si>
  <si>
    <t>肘关节融合术</t>
  </si>
  <si>
    <t>00331511002000000</t>
  </si>
  <si>
    <t>先天性胫骨缺如胫骨上端膝关节融合术</t>
  </si>
  <si>
    <t>00331511003000000</t>
  </si>
  <si>
    <t>踝关节融合手术</t>
  </si>
  <si>
    <t>00331511003000100</t>
  </si>
  <si>
    <t>踝四关节融合术</t>
  </si>
  <si>
    <t>00331511006000000</t>
  </si>
  <si>
    <t>桡尺远侧关节融合术</t>
  </si>
  <si>
    <t>00331511007000000</t>
  </si>
  <si>
    <t>桡关节融合术</t>
  </si>
  <si>
    <t>00331511008000000</t>
  </si>
  <si>
    <t>胫腓骨远端融合术</t>
  </si>
  <si>
    <t>00331517001000000</t>
  </si>
  <si>
    <t>局限性腕骨融合术</t>
  </si>
  <si>
    <t>00331512001000000</t>
  </si>
  <si>
    <t>肘关节叉状成形术</t>
  </si>
  <si>
    <t>00331507013000000</t>
  </si>
  <si>
    <t xml:space="preserve">人工跖趾关节置换术 </t>
  </si>
  <si>
    <t>00331507013010000</t>
  </si>
  <si>
    <t xml:space="preserve">人工趾间关节置换术 </t>
  </si>
  <si>
    <t>00331517004000000</t>
  </si>
  <si>
    <t>手部人工关节置换术</t>
  </si>
  <si>
    <t>00331517004010000</t>
  </si>
  <si>
    <t>指间关节人工关节置换术</t>
  </si>
  <si>
    <t>00331517004020000</t>
  </si>
  <si>
    <t>掌指关节人工关节置换术</t>
  </si>
  <si>
    <t>00331517004030000</t>
  </si>
  <si>
    <t>腕掌关节人工关节置换术</t>
  </si>
  <si>
    <t>00331515010000000</t>
  </si>
  <si>
    <t>人工桡骨头月骨置换术</t>
  </si>
  <si>
    <t>00331507001000000</t>
  </si>
  <si>
    <t>人工全肩关节置换术</t>
  </si>
  <si>
    <t>00331507001000100</t>
  </si>
  <si>
    <t>人工全肩关节置换术再置换加收</t>
  </si>
  <si>
    <t>00331507002000000</t>
  </si>
  <si>
    <t>人工肱骨头置换术</t>
  </si>
  <si>
    <t>00331507003000000</t>
  </si>
  <si>
    <t>人工肘关节置换术</t>
  </si>
  <si>
    <t>00331507003000100</t>
  </si>
  <si>
    <t>人工肘关节置换术再置换加收</t>
  </si>
  <si>
    <t>00331507004000000</t>
  </si>
  <si>
    <t>人工腕关节置换术</t>
  </si>
  <si>
    <t>00331507004000100</t>
  </si>
  <si>
    <t>人工腕关节置换术再置换加收</t>
  </si>
  <si>
    <t>00331507005000000</t>
  </si>
  <si>
    <t>人工全髋关节置换术</t>
  </si>
  <si>
    <t>00331507005000100</t>
  </si>
  <si>
    <t>人工全髋关节置换术再置换加收</t>
  </si>
  <si>
    <t>00331507006000000</t>
  </si>
  <si>
    <t>人工股骨头置换术</t>
  </si>
  <si>
    <t>00331507007000000</t>
  </si>
  <si>
    <t>人工膝关节表面置换术</t>
  </si>
  <si>
    <t>00331507007000100</t>
  </si>
  <si>
    <t>人工膝关节表面置换术再置换加收</t>
  </si>
  <si>
    <t>00331507008000000</t>
  </si>
  <si>
    <t>人工膝关节绞链式置换术</t>
  </si>
  <si>
    <t>00331507008000100</t>
  </si>
  <si>
    <t>人工膝关节绞链式置换术再置换加收</t>
  </si>
  <si>
    <t>00331507009000000</t>
  </si>
  <si>
    <t>人工踝关节置换术</t>
  </si>
  <si>
    <t>00331507009000100</t>
  </si>
  <si>
    <t>人工踝关节置换术再置换加收</t>
  </si>
  <si>
    <t>00331507010000000</t>
  </si>
  <si>
    <t>人工髌股关节置换术</t>
  </si>
  <si>
    <t>00331507012000000</t>
  </si>
  <si>
    <t>髋关节表面置换术</t>
  </si>
  <si>
    <t>00331507014000000</t>
  </si>
  <si>
    <t>人工关节翻修术</t>
  </si>
  <si>
    <t>00331507011000000</t>
  </si>
  <si>
    <t>人工关节取出术</t>
  </si>
  <si>
    <t>00331508002000000</t>
  </si>
  <si>
    <t>骨骺早闭骨桥切除脂肪移植术</t>
  </si>
  <si>
    <t>00331508005000000</t>
  </si>
  <si>
    <t>带血管蒂肌蒂骨骺移植术</t>
  </si>
  <si>
    <t>00331508003000000</t>
  </si>
  <si>
    <t>骨骺固定术</t>
  </si>
  <si>
    <t>00331512023000000</t>
  </si>
  <si>
    <t>临时骺阻滞术</t>
  </si>
  <si>
    <t>00331522009000000</t>
  </si>
  <si>
    <t>腕管综合症切开减压术</t>
  </si>
  <si>
    <t>00331522009000001</t>
  </si>
  <si>
    <t>肘管综合症切开减压术</t>
  </si>
  <si>
    <t>00331502010000000</t>
  </si>
  <si>
    <t>坐骨神经松解术</t>
  </si>
  <si>
    <t>00331502009000000</t>
  </si>
  <si>
    <t>周围神经嵌压松解术</t>
  </si>
  <si>
    <t>00331502014000000</t>
  </si>
  <si>
    <t>神经纤维部分切断术</t>
  </si>
  <si>
    <t>00331502011000000</t>
  </si>
  <si>
    <t>闭孔神经切断术</t>
  </si>
  <si>
    <t>00331502012000000</t>
  </si>
  <si>
    <t>闭孔神经内收肌切断术</t>
  </si>
  <si>
    <t>00331522021000000</t>
  </si>
  <si>
    <t>足伸拇短肌去神经术</t>
  </si>
  <si>
    <t>00331502005000000</t>
  </si>
  <si>
    <t>神经吻合术</t>
  </si>
  <si>
    <t>00331521036000000</t>
  </si>
  <si>
    <t>前臂神经探查吻合术</t>
  </si>
  <si>
    <t>00331521036010000</t>
  </si>
  <si>
    <t>桡神经探查吻合术</t>
  </si>
  <si>
    <t>00331521036020000</t>
  </si>
  <si>
    <t>正中神经探查吻合术</t>
  </si>
  <si>
    <t>00331521036030000</t>
  </si>
  <si>
    <t>尺神经探查吻合术</t>
  </si>
  <si>
    <t>00331502013000000</t>
  </si>
  <si>
    <t>下肢神经探查吻合术</t>
  </si>
  <si>
    <t>00331521038000000</t>
  </si>
  <si>
    <t>手腕部神经损伤修复术</t>
  </si>
  <si>
    <t>00331521038010000</t>
  </si>
  <si>
    <t>桡神经浅支神经损伤修复术</t>
  </si>
  <si>
    <t>00331521038020000</t>
  </si>
  <si>
    <t>指总神经损伤修复术</t>
  </si>
  <si>
    <t>00331521038030000</t>
  </si>
  <si>
    <t>指固有神经损伤修复术</t>
  </si>
  <si>
    <t>00331502006000000</t>
  </si>
  <si>
    <t>神经移植术</t>
  </si>
  <si>
    <t>00331521037000000</t>
  </si>
  <si>
    <t>前臂神经探查游离神经移植术</t>
  </si>
  <si>
    <t>00331521037010000</t>
  </si>
  <si>
    <t>桡神经探查游离神经移植术</t>
  </si>
  <si>
    <t>00331521037020000</t>
  </si>
  <si>
    <t>正中神经探查游离神经移植术</t>
  </si>
  <si>
    <t>00331521037030000</t>
  </si>
  <si>
    <t>尺神经探查游离神经移植术</t>
  </si>
  <si>
    <t>00331502007000000</t>
  </si>
  <si>
    <t>带血管蒂游离神经移植术</t>
  </si>
  <si>
    <t>00331502008000000</t>
  </si>
  <si>
    <t>神经瘤切除术</t>
  </si>
  <si>
    <t>00331502008000001</t>
  </si>
  <si>
    <t>神经纤维鞘瘤切除术</t>
  </si>
  <si>
    <t>00331502002000000</t>
  </si>
  <si>
    <t>臂丛神经损伤神经探查松解术</t>
  </si>
  <si>
    <t>00331502003000000</t>
  </si>
  <si>
    <t>臂丛神经损伤游离神经移植术</t>
  </si>
  <si>
    <t>00331502004000000</t>
  </si>
  <si>
    <t>臂丛神经损伤神经移位术</t>
  </si>
  <si>
    <t>00331502004000100</t>
  </si>
  <si>
    <t>臂丛神经损伤神经移位联合术</t>
  </si>
  <si>
    <t>00331521036000001</t>
  </si>
  <si>
    <t>前臂神经探查术</t>
  </si>
  <si>
    <t>00331521036010001</t>
  </si>
  <si>
    <t>桡神经探查术</t>
  </si>
  <si>
    <t>00331521036020001</t>
  </si>
  <si>
    <t>正中神经探查术</t>
  </si>
  <si>
    <t>00331521036030001</t>
  </si>
  <si>
    <t>尺神经探查术</t>
  </si>
  <si>
    <t>00330804063000000</t>
  </si>
  <si>
    <t>小动脉吻合术</t>
  </si>
  <si>
    <t>00330804063000001</t>
  </si>
  <si>
    <t>小静脉吻合术</t>
  </si>
  <si>
    <t>00331522010000000</t>
  </si>
  <si>
    <t>肱二头肌长头腱脱位修复术</t>
  </si>
  <si>
    <t>00331522010010000</t>
  </si>
  <si>
    <t>肱三头肌长头腱脱位修补术</t>
  </si>
  <si>
    <t>00331522015000000</t>
  </si>
  <si>
    <t>腓骨肌腱脱位修复术</t>
  </si>
  <si>
    <t>00331522019000000</t>
  </si>
  <si>
    <t>鹅足弹响矫正术</t>
  </si>
  <si>
    <t>00331522012000000</t>
  </si>
  <si>
    <t>臀大肌挛缩切除术</t>
  </si>
  <si>
    <t>00331522018000000</t>
  </si>
  <si>
    <t>关节镜下股骨头韧带切除术</t>
  </si>
  <si>
    <t>00331522022000000</t>
  </si>
  <si>
    <t>肌腱切断术</t>
  </si>
  <si>
    <t>条</t>
  </si>
  <si>
    <t>00331522023000000</t>
  </si>
  <si>
    <t>游离肌肉切取术</t>
  </si>
  <si>
    <t>00331521016000001</t>
  </si>
  <si>
    <t>内收肌切断术</t>
  </si>
  <si>
    <t>00331522024000000</t>
  </si>
  <si>
    <t>肌腱切取术</t>
  </si>
  <si>
    <t>00331521028000000</t>
  </si>
  <si>
    <t>肌腱粘连松解术</t>
  </si>
  <si>
    <t>每个手指</t>
  </si>
  <si>
    <t>00331522002000000</t>
  </si>
  <si>
    <t>肌性斜颈矫正术</t>
  </si>
  <si>
    <t>00331522013000000</t>
  </si>
  <si>
    <t>髂胫束松解术</t>
  </si>
  <si>
    <t>00331522006000000</t>
  </si>
  <si>
    <t>肱二头肌腱断裂修补术</t>
  </si>
  <si>
    <t>00331522006010000</t>
  </si>
  <si>
    <t>肱三头肌腱断裂修补术</t>
  </si>
  <si>
    <t>00331522016000000</t>
  </si>
  <si>
    <t>跟腱断裂修补术</t>
  </si>
  <si>
    <t>00331520001000000</t>
  </si>
  <si>
    <t>腕关节韧带修补术</t>
  </si>
  <si>
    <t>00331522017000000</t>
  </si>
  <si>
    <t>肘关节韧带修复术</t>
  </si>
  <si>
    <t>00331521029000001</t>
  </si>
  <si>
    <t>趾肌腱吻合术</t>
  </si>
  <si>
    <t>00331520007000000</t>
  </si>
  <si>
    <t>手部骨间肌起点迁移术</t>
  </si>
  <si>
    <t>00331521009000000</t>
  </si>
  <si>
    <t>指固有伸肌腱移位功能重建术</t>
  </si>
  <si>
    <t>00331521011000000</t>
  </si>
  <si>
    <t>屈肘功能重建术</t>
  </si>
  <si>
    <t>00331521015000000</t>
  </si>
  <si>
    <t>拇指对掌功能重建术</t>
  </si>
  <si>
    <t>00331521035000000</t>
  </si>
  <si>
    <t>手内肌麻痹功能重建术</t>
  </si>
  <si>
    <t>00331522004000000</t>
  </si>
  <si>
    <t>脑瘫肌力肌张力调整术</t>
  </si>
  <si>
    <t>单肢</t>
  </si>
  <si>
    <t>00331603043000001</t>
  </si>
  <si>
    <t>肌腱移位术</t>
  </si>
  <si>
    <t>00331522025000000</t>
  </si>
  <si>
    <t>肌肉固定术</t>
  </si>
  <si>
    <t>00331522026000000</t>
  </si>
  <si>
    <t>肌肉缝合术</t>
  </si>
  <si>
    <t>00331522027000000</t>
  </si>
  <si>
    <t>肌肉成形术</t>
  </si>
  <si>
    <t>00331522028000000</t>
  </si>
  <si>
    <t>闭孔内肌自体移植术</t>
  </si>
  <si>
    <t>00331522020000000</t>
  </si>
  <si>
    <t>跟腱延长术</t>
  </si>
  <si>
    <t>00331603043000000</t>
  </si>
  <si>
    <t>肌腱移植术</t>
  </si>
  <si>
    <t>00331603044000000</t>
  </si>
  <si>
    <t>烧伤后肌腱延长术</t>
  </si>
  <si>
    <t>00331522001000000</t>
  </si>
  <si>
    <t>骨骼肌软组织肿瘤切除术</t>
  </si>
  <si>
    <t>00331522001000001</t>
  </si>
  <si>
    <t>其它软组织肿瘤切除术</t>
  </si>
  <si>
    <t>00331508001000000</t>
  </si>
  <si>
    <t>骨骺肌及软组织肿瘤切除术</t>
  </si>
  <si>
    <t>00331503020000000</t>
  </si>
  <si>
    <t>坐骨结节囊肿摘除术</t>
  </si>
  <si>
    <t>00331506022000000</t>
  </si>
  <si>
    <t>腘窝囊肿切除术</t>
  </si>
  <si>
    <t>00331506022000100</t>
  </si>
  <si>
    <t>腘窝囊肿切除术（双侧）</t>
  </si>
  <si>
    <t>00331522003000000</t>
  </si>
  <si>
    <t>骨化性肌炎局部切除术</t>
  </si>
  <si>
    <t>00331522007000000</t>
  </si>
  <si>
    <t>岗上肌腱钙化沉淀物取出术</t>
  </si>
  <si>
    <t>00331501017000000</t>
  </si>
  <si>
    <t>髂窝脓肿切开引流术</t>
  </si>
  <si>
    <t>00331501018000000</t>
  </si>
  <si>
    <t>髂腰肌脓肿切开引流术</t>
  </si>
  <si>
    <t>SX331522026000001</t>
  </si>
  <si>
    <t>深部肌肉探查吻合术</t>
  </si>
  <si>
    <t>00331521017000000</t>
  </si>
  <si>
    <t>腱鞘囊肿切除术</t>
  </si>
  <si>
    <t>00331521017010000</t>
  </si>
  <si>
    <t>拇囊炎手术治疗</t>
  </si>
  <si>
    <t>00331522005000000</t>
  </si>
  <si>
    <t>上肢筋膜间室综合征切开减压术</t>
  </si>
  <si>
    <t>00331522014000000</t>
  </si>
  <si>
    <t>下肢筋膜间室综合征切开减压术</t>
  </si>
  <si>
    <t>00331521018000001</t>
  </si>
  <si>
    <t>跖腱膜切断术</t>
  </si>
  <si>
    <t>00331502001000000</t>
  </si>
  <si>
    <t>胸出口综合征手术</t>
  </si>
  <si>
    <t>00331502001000100</t>
  </si>
  <si>
    <t>胸出口综合征联合手术加收</t>
  </si>
  <si>
    <t>00310100004000000</t>
  </si>
  <si>
    <t>动态脑电图</t>
  </si>
  <si>
    <t>00310100004010000</t>
  </si>
  <si>
    <t>脑电视频监测</t>
  </si>
  <si>
    <t>00310100005000000</t>
  </si>
  <si>
    <t>脑电图录象监测</t>
  </si>
  <si>
    <t>00310100001000000</t>
  </si>
  <si>
    <t>脑电图(8导)</t>
  </si>
  <si>
    <t xml:space="preserve">次或小时 </t>
  </si>
  <si>
    <t>00310100001000001</t>
  </si>
  <si>
    <t>脑电图(14导)</t>
  </si>
  <si>
    <t>00310100001000002</t>
  </si>
  <si>
    <t>脑电图(16导)</t>
  </si>
  <si>
    <t>00310100001000003</t>
  </si>
  <si>
    <t>脑电图(16导以上)</t>
  </si>
  <si>
    <t>00310100003000000</t>
  </si>
  <si>
    <t>脑地形图</t>
  </si>
  <si>
    <t>00310100003000001</t>
  </si>
  <si>
    <t>脑地形图+脑电图</t>
  </si>
  <si>
    <t>SX310100001000004</t>
  </si>
  <si>
    <t>脑电图床旁加收</t>
  </si>
  <si>
    <t>00310100002000000</t>
  </si>
  <si>
    <t>特殊脑电图</t>
  </si>
  <si>
    <t>00310100002010000</t>
  </si>
  <si>
    <t>特殊脑电图(特殊电极）</t>
  </si>
  <si>
    <t>00310100002020000</t>
  </si>
  <si>
    <t>特殊脑电图(特殊诱发）</t>
  </si>
  <si>
    <t>00310100006000000</t>
  </si>
  <si>
    <t>脑磁图</t>
  </si>
  <si>
    <t>00310100015000000</t>
  </si>
  <si>
    <t>感觉阈值测量</t>
  </si>
  <si>
    <t>每条神经</t>
  </si>
  <si>
    <t>00310100015010000</t>
  </si>
  <si>
    <t>感觉障碍电生理诊断</t>
  </si>
  <si>
    <t>00310100022000000</t>
  </si>
  <si>
    <t>多功能神经肌肉功能监测</t>
  </si>
  <si>
    <t>00310100022000001</t>
  </si>
  <si>
    <t>表面肌电图检查</t>
  </si>
  <si>
    <t>00310100022010000</t>
  </si>
  <si>
    <t>表面肌电测定</t>
  </si>
  <si>
    <t>00310100023000000</t>
  </si>
  <si>
    <t>肌电图</t>
  </si>
  <si>
    <t>每条肌肉</t>
  </si>
  <si>
    <t>00310100023010000</t>
  </si>
  <si>
    <t>眼肌电图</t>
  </si>
  <si>
    <t>00310100026000000</t>
  </si>
  <si>
    <t>多轨迹断层肌电图</t>
  </si>
  <si>
    <t>00310504003000000</t>
  </si>
  <si>
    <t>面神经肌电图检查</t>
  </si>
  <si>
    <t>每区</t>
  </si>
  <si>
    <t>00310504003010000</t>
  </si>
  <si>
    <t>面神经肌电图检查(额部功能区)</t>
  </si>
  <si>
    <t>00310504003020000</t>
  </si>
  <si>
    <t>面神经肌电图检查(眼部功能区)</t>
  </si>
  <si>
    <t>00310504003030000</t>
  </si>
  <si>
    <t>面神经肌电图检查(上唇功能区)</t>
  </si>
  <si>
    <t>00310504003040000</t>
  </si>
  <si>
    <t>面神经肌电图检查(下唇功能区)</t>
  </si>
  <si>
    <t>00310100024000000</t>
  </si>
  <si>
    <t>单纤维肌电图</t>
  </si>
  <si>
    <t>00310100007000000</t>
  </si>
  <si>
    <t>神经传导速度测定</t>
  </si>
  <si>
    <t>00310100007010000</t>
  </si>
  <si>
    <t>重复神经电刺激测定</t>
  </si>
  <si>
    <t>00310100008000000</t>
  </si>
  <si>
    <t>神经电图</t>
  </si>
  <si>
    <t>00310100021000000</t>
  </si>
  <si>
    <t>植物神经功能检查</t>
  </si>
  <si>
    <t>00310100011000000</t>
  </si>
  <si>
    <t>事件相关电位</t>
  </si>
  <si>
    <t>00310100011000100</t>
  </si>
  <si>
    <t>事件相关电位增加N400检查时加收</t>
  </si>
  <si>
    <t>00310100011010000</t>
  </si>
  <si>
    <t>事件相关电位(视觉刺激P300)</t>
  </si>
  <si>
    <t>00310100011020000</t>
  </si>
  <si>
    <t>事件相关电位(体感刺激P300)</t>
  </si>
  <si>
    <t>00310100011030000</t>
  </si>
  <si>
    <t>事件相关电位(听觉P300)</t>
  </si>
  <si>
    <t>00310100012000000</t>
  </si>
  <si>
    <t>脑干听觉诱发电位</t>
  </si>
  <si>
    <t>00310100009000000</t>
  </si>
  <si>
    <t>体感诱发电位</t>
  </si>
  <si>
    <t>00310100009000100</t>
  </si>
  <si>
    <t>体感诱发电位术中监测</t>
  </si>
  <si>
    <t>00310100009010000</t>
  </si>
  <si>
    <t>上肢体感诱发电位</t>
  </si>
  <si>
    <t>00310100009020000</t>
  </si>
  <si>
    <t>下肢体感诱发电位</t>
  </si>
  <si>
    <t>00310100010000000</t>
  </si>
  <si>
    <t>运动诱发电位</t>
  </si>
  <si>
    <t>00310100010000001</t>
  </si>
  <si>
    <t>运动诱发电位术中监测</t>
  </si>
  <si>
    <t>00340100007000000</t>
  </si>
  <si>
    <t>电诊断</t>
  </si>
  <si>
    <t>每块肌肉或每条神经</t>
  </si>
  <si>
    <t>00340100007010000</t>
  </si>
  <si>
    <t>直流电检查</t>
  </si>
  <si>
    <t>00340100007020000</t>
  </si>
  <si>
    <t>感应电检查</t>
  </si>
  <si>
    <t>00340100007030000</t>
  </si>
  <si>
    <t>直流-感应电检查</t>
  </si>
  <si>
    <t>00340100007040000</t>
  </si>
  <si>
    <t>时值检查</t>
  </si>
  <si>
    <t>00340100007050000</t>
  </si>
  <si>
    <t>强度-频率曲线检查</t>
  </si>
  <si>
    <t>00340100007060000</t>
  </si>
  <si>
    <t>中频脉冲电检查</t>
  </si>
  <si>
    <t>00310100014000000</t>
  </si>
  <si>
    <t>颅内压监测</t>
  </si>
  <si>
    <t>00311202002000000</t>
  </si>
  <si>
    <t>新生儿测颅压</t>
  </si>
  <si>
    <t>SX310100065000000</t>
  </si>
  <si>
    <t>无创脑水肿监测</t>
  </si>
  <si>
    <t>SX310100065000001</t>
  </si>
  <si>
    <t>无创脑水肿监测加收</t>
  </si>
  <si>
    <t>00320600001000000</t>
  </si>
  <si>
    <t>经股动脉插管全脑动脉造影术</t>
  </si>
  <si>
    <t>00320600001010000</t>
  </si>
  <si>
    <t>经颈动脉插管全脑动脉造影术</t>
  </si>
  <si>
    <t>00320600010000000</t>
  </si>
  <si>
    <t>脊髓动脉造影术</t>
  </si>
  <si>
    <t>SX310100030000000</t>
  </si>
  <si>
    <t>植入性神经电刺激器程控治疗（慢性小脑电刺激术）</t>
  </si>
  <si>
    <t>SX311503039000000</t>
  </si>
  <si>
    <t>经颅磁刺激治疗</t>
  </si>
  <si>
    <t>00310100031000000</t>
  </si>
  <si>
    <t>慢性小脑电刺激术</t>
  </si>
  <si>
    <t>00311503012000000</t>
  </si>
  <si>
    <t>脑电治疗</t>
  </si>
  <si>
    <t>00320600003000000</t>
  </si>
  <si>
    <t>经皮穿刺脑血管腔内球囊成形术</t>
  </si>
  <si>
    <t>00320600004000000</t>
  </si>
  <si>
    <t>经皮穿刺脑血管腔内支架置入术</t>
  </si>
  <si>
    <t>21320600012000000</t>
  </si>
  <si>
    <t>超选择脑动脉腔内血栓取出术</t>
  </si>
  <si>
    <t>00320600005000000</t>
  </si>
  <si>
    <t>经皮穿刺脑血管腔内溶栓术</t>
  </si>
  <si>
    <t>00320600006000000</t>
  </si>
  <si>
    <t>经皮穿刺脑血管腔内化疗术</t>
  </si>
  <si>
    <t>00320600002000000</t>
  </si>
  <si>
    <t>单纯脑动静脉瘘栓塞术</t>
  </si>
  <si>
    <t>00320600009000000</t>
  </si>
  <si>
    <t>脑及颅内血管畸形栓塞术</t>
  </si>
  <si>
    <t>00320600008000000</t>
  </si>
  <si>
    <t>颅内动脉瘤栓塞术</t>
  </si>
  <si>
    <t>00320600011000000</t>
  </si>
  <si>
    <t>脊髓血管畸形栓塞术</t>
  </si>
  <si>
    <t>00330201035000000</t>
  </si>
  <si>
    <t>脑深部电极置入术</t>
  </si>
  <si>
    <t>SX330100018000005</t>
  </si>
  <si>
    <t>经皮穿刺脊髓电刺激镇痛术</t>
  </si>
  <si>
    <t>SX330100018000006</t>
  </si>
  <si>
    <t>脊髓电刺激器镇痛术</t>
  </si>
  <si>
    <t>SX330100018000007</t>
  </si>
  <si>
    <t>脊髓电刺激电极取出术</t>
  </si>
  <si>
    <t>SX330202001000000</t>
  </si>
  <si>
    <t>经皮穿刺骶神经刺激装置永久置入术</t>
  </si>
  <si>
    <t>SX330202002000000</t>
  </si>
  <si>
    <t>经皮穿刺骶神经刺激装置临时置入术</t>
  </si>
  <si>
    <t>00330204023000000</t>
  </si>
  <si>
    <t>SX330202002010000</t>
  </si>
  <si>
    <t>经皮穿刺骶神经刺激装置取出术</t>
  </si>
  <si>
    <t>00310100013000000</t>
  </si>
  <si>
    <t>术中颅神经监测</t>
  </si>
  <si>
    <t>00310100025000000</t>
  </si>
  <si>
    <t>肌电图监测</t>
  </si>
  <si>
    <t>SX310100013000001</t>
  </si>
  <si>
    <t>术中神经电生理监测</t>
  </si>
  <si>
    <t>SX310100013000002</t>
  </si>
  <si>
    <t>术中神经电生理监测加收</t>
  </si>
  <si>
    <t>00330201010000000</t>
  </si>
  <si>
    <t>颅骨钻孔探查术</t>
  </si>
  <si>
    <t>00330201004000000</t>
  </si>
  <si>
    <t>颅内硬膜外血肿引流术</t>
  </si>
  <si>
    <t>00330201004010000</t>
  </si>
  <si>
    <t>颅内硬膜外脓肿引流术</t>
  </si>
  <si>
    <t>00330201013000000</t>
  </si>
  <si>
    <t>慢性硬膜下血肿钻孔术</t>
  </si>
  <si>
    <t>00330201013010000</t>
  </si>
  <si>
    <t>高血压脑出血碎吸术</t>
  </si>
  <si>
    <t>00330201021000000</t>
  </si>
  <si>
    <t>颅内蛛网膜囊肿分流术</t>
  </si>
  <si>
    <t>00330201005000000</t>
  </si>
  <si>
    <t>脑脓肿穿刺引流术</t>
  </si>
  <si>
    <t>00330201003000000</t>
  </si>
  <si>
    <t>帽状腱膜下血肿切开引流术</t>
  </si>
  <si>
    <t>00330201003010000</t>
  </si>
  <si>
    <t>帽状腱膜下脓肿切开引流术</t>
  </si>
  <si>
    <t>00330204006010000</t>
  </si>
  <si>
    <t>硬膜下脓肿切开引流术</t>
  </si>
  <si>
    <t>00330204018000000</t>
  </si>
  <si>
    <t>经皮穿刺骶神经囊肿治疗术</t>
  </si>
  <si>
    <t>00310100018000000</t>
  </si>
  <si>
    <t>枕大池穿刺术</t>
  </si>
  <si>
    <t>00310100019000000</t>
  </si>
  <si>
    <t>硬脑膜下穿刺术</t>
  </si>
  <si>
    <t>00310100018000001</t>
  </si>
  <si>
    <t>腰大池穿刺引流术</t>
  </si>
  <si>
    <t>00330201020000000</t>
  </si>
  <si>
    <t>脑室钻孔伴脑室引流术</t>
  </si>
  <si>
    <t>00330204020000000</t>
  </si>
  <si>
    <t>脑脊液置换术</t>
  </si>
  <si>
    <t>00330204021000000</t>
  </si>
  <si>
    <t>欧玛亚（Omaya）管置入术</t>
  </si>
  <si>
    <t>00330201008000000</t>
  </si>
  <si>
    <t>去颅骨骨瓣减压术</t>
  </si>
  <si>
    <t>00330201008000001</t>
  </si>
  <si>
    <t>颅骨切取术</t>
  </si>
  <si>
    <t>00330201016000000</t>
  </si>
  <si>
    <t>开颅颅内减压术</t>
  </si>
  <si>
    <t>00330201053000000</t>
  </si>
  <si>
    <t>环枕畸形减压术</t>
  </si>
  <si>
    <t>00330201014000000</t>
  </si>
  <si>
    <t>颅内多发血肿清除术</t>
  </si>
  <si>
    <t>00330201015000000</t>
  </si>
  <si>
    <t>颅内血肿清除术</t>
  </si>
  <si>
    <t>00330201015000100</t>
  </si>
  <si>
    <t>经颅内镜颅内血肿清除术</t>
  </si>
  <si>
    <t>00330201022000000</t>
  </si>
  <si>
    <t>幕上浅部病变切除术</t>
  </si>
  <si>
    <t>00330201025000000</t>
  </si>
  <si>
    <t>第四脑室肿瘤切除术</t>
  </si>
  <si>
    <t>00330201025010000</t>
  </si>
  <si>
    <t>第四脑室小脑下蚓部肿瘤切除术</t>
  </si>
  <si>
    <t>00330201025020000</t>
  </si>
  <si>
    <t>第四脑室室管膜瘤切除术</t>
  </si>
  <si>
    <t>00330201025030000</t>
  </si>
  <si>
    <t>第四脑室导水管囊虫切除术</t>
  </si>
  <si>
    <t>00330201026000000</t>
  </si>
  <si>
    <t>经颅内镜脑室肿瘤切除术</t>
  </si>
  <si>
    <t>00330201028000000</t>
  </si>
  <si>
    <t>脑皮质切除术</t>
  </si>
  <si>
    <t>00330201029000000</t>
  </si>
  <si>
    <t>大脑半球切除术</t>
  </si>
  <si>
    <t>00330201030000000</t>
  </si>
  <si>
    <t>选择性杏仁核海马切除术</t>
  </si>
  <si>
    <t>00330201031000000</t>
  </si>
  <si>
    <t>胼胝体切开术</t>
  </si>
  <si>
    <t>00330201032000000</t>
  </si>
  <si>
    <t>多处软脑膜下横纤维切断术</t>
  </si>
  <si>
    <t>00330201033000000</t>
  </si>
  <si>
    <t>癫痫病灶切除术</t>
  </si>
  <si>
    <t>00330201059000000</t>
  </si>
  <si>
    <t>立体定向颅内肿物清除术</t>
  </si>
  <si>
    <t>00330201059010000</t>
  </si>
  <si>
    <t>立体定向颅内血肿清除术</t>
  </si>
  <si>
    <t>00330201059020000</t>
  </si>
  <si>
    <t>立体定向颅内脓肿清除术</t>
  </si>
  <si>
    <t>00330201059030000</t>
  </si>
  <si>
    <t>立体定向颅内肿瘤清除术</t>
  </si>
  <si>
    <t>00330201059050000</t>
  </si>
  <si>
    <t>立体定向颅内异物取出术</t>
  </si>
  <si>
    <t>00330201060000000</t>
  </si>
  <si>
    <t>立体定向脑深部核团毁损术</t>
  </si>
  <si>
    <t>靶点</t>
  </si>
  <si>
    <t>00330201060000001</t>
  </si>
  <si>
    <t>立体定向脑深部核团毁损术加收</t>
  </si>
  <si>
    <t>00330201060000002</t>
  </si>
  <si>
    <t>立体定向脑深部核团射频毁损术</t>
  </si>
  <si>
    <t>00330201060000003</t>
  </si>
  <si>
    <t>立体定向脑深部核团射频毁损术加收</t>
  </si>
  <si>
    <t>00330201060050000</t>
  </si>
  <si>
    <t>立体定向脑深部核团细胞刀治疗</t>
  </si>
  <si>
    <t>00330201060050001</t>
  </si>
  <si>
    <t>立体定向脑深部核团细胞刀治疗加收</t>
  </si>
  <si>
    <t>00330201006000000</t>
  </si>
  <si>
    <t>开放性颅脑损伤清除术</t>
  </si>
  <si>
    <t>00330201006000100</t>
  </si>
  <si>
    <t>静脉窦破裂手术加收</t>
  </si>
  <si>
    <t>00330201006010000</t>
  </si>
  <si>
    <t>火器伤开放性颅脑损伤清除术</t>
  </si>
  <si>
    <t>00330201046000000</t>
  </si>
  <si>
    <t>经颅内镜脑内囊肿造口术</t>
  </si>
  <si>
    <t>00330201047000000</t>
  </si>
  <si>
    <t>经颅内镜脑内异物摘除术</t>
  </si>
  <si>
    <t>00330201043000000</t>
  </si>
  <si>
    <t>经脑室镜胶样囊肿切除术</t>
  </si>
  <si>
    <t>00330201034000000</t>
  </si>
  <si>
    <t>癫痫刀手术</t>
  </si>
  <si>
    <t>00330201044000000</t>
  </si>
  <si>
    <t>脑囊虫摘除术</t>
  </si>
  <si>
    <t>00330201011000000</t>
  </si>
  <si>
    <t>经颅眶肿瘤切除术</t>
  </si>
  <si>
    <t>21330000000001200</t>
  </si>
  <si>
    <t>脑室镜加收</t>
  </si>
  <si>
    <t>00330201023000000</t>
  </si>
  <si>
    <t>大静脉窦旁脑膜瘤切除+血管窦重建术</t>
  </si>
  <si>
    <t>00330201024000000</t>
  </si>
  <si>
    <t>幕上深部病变切除术</t>
  </si>
  <si>
    <t>00330201037000000</t>
  </si>
  <si>
    <t>脑干肿瘤切除术</t>
  </si>
  <si>
    <t>00330201037040000</t>
  </si>
  <si>
    <t>丘脑肿瘤肿瘤切除术</t>
  </si>
  <si>
    <t>00330201037050000</t>
  </si>
  <si>
    <t>自发脑干血肿切除术</t>
  </si>
  <si>
    <t>00330201037060000</t>
  </si>
  <si>
    <t>脑干血管畸形切除术</t>
  </si>
  <si>
    <t>00330201037070000</t>
  </si>
  <si>
    <t>小脑实性血网切除术</t>
  </si>
  <si>
    <t>00330201048000000</t>
  </si>
  <si>
    <t>经颅内镜脑室脉络丛烧灼术</t>
  </si>
  <si>
    <t>00330203003000000</t>
  </si>
  <si>
    <t>颅内动脉瘤包裹术</t>
  </si>
  <si>
    <t>00330203004000000</t>
  </si>
  <si>
    <t>颅内巨大动静脉畸形栓塞后切除术</t>
  </si>
  <si>
    <t>00330203004000001</t>
  </si>
  <si>
    <t>脑干周围深部血管畸形栓塞后切除术</t>
  </si>
  <si>
    <t>00330203004010000</t>
  </si>
  <si>
    <t>脑室周围深部血管畸形栓塞后切除术</t>
  </si>
  <si>
    <t>00330203005000000</t>
  </si>
  <si>
    <t>颅内动静脉畸形切除术</t>
  </si>
  <si>
    <t>00330203006000000</t>
  </si>
  <si>
    <t>脑动脉瘤动静脉畸形切除术</t>
  </si>
  <si>
    <t>00330203006000100</t>
  </si>
  <si>
    <t>脑动脉瘤动静脉畸形切除术加收</t>
  </si>
  <si>
    <t>00330201036000000</t>
  </si>
  <si>
    <t>小脑半球病变切除术</t>
  </si>
  <si>
    <t>00330201014000100</t>
  </si>
  <si>
    <t>颅内非同一部位多发血肿清除术</t>
  </si>
  <si>
    <t>21330000000001300</t>
  </si>
  <si>
    <t>颅内镜加收</t>
  </si>
  <si>
    <t>00330201027000000</t>
  </si>
  <si>
    <t>桥小脑角肿瘤切除术</t>
  </si>
  <si>
    <t>00330201027010000</t>
  </si>
  <si>
    <t>听神经瘤切除术</t>
  </si>
  <si>
    <t>00330201027020000</t>
  </si>
  <si>
    <t>三叉神经鞘瘤切除术</t>
  </si>
  <si>
    <t>00330201027030000</t>
  </si>
  <si>
    <t>桥小脑角胆脂瘤切除术</t>
  </si>
  <si>
    <t>00330201027040000</t>
  </si>
  <si>
    <t>蛛网膜囊肿切除术</t>
  </si>
  <si>
    <t>00330201041000000</t>
  </si>
  <si>
    <t>颅底肿瘤切除术</t>
  </si>
  <si>
    <t>00330201054000000</t>
  </si>
  <si>
    <t>经口齿状突切除术</t>
  </si>
  <si>
    <t>00330201056000000</t>
  </si>
  <si>
    <t>骨纤维异常增殖切除整形术</t>
  </si>
  <si>
    <t>00330201045000000</t>
  </si>
  <si>
    <t>经颅内镜经鼻蝶垂体肿瘤切除术</t>
  </si>
  <si>
    <t>00330201040000000</t>
  </si>
  <si>
    <t>经口腔入路颅底斜坡肿瘤切除术</t>
  </si>
  <si>
    <t>00330201040010000</t>
  </si>
  <si>
    <t>经上颌入路颅底海绵窦侵入肿瘤切除术</t>
  </si>
  <si>
    <t>00330201039000000</t>
  </si>
  <si>
    <t>垂体瘤切除术</t>
  </si>
  <si>
    <t>00330201038000000</t>
  </si>
  <si>
    <t>鞍区占位病变切除术</t>
  </si>
  <si>
    <t>00330201002000000</t>
  </si>
  <si>
    <t>颅骨骨瘤切除术</t>
  </si>
  <si>
    <t>00330201009000000</t>
  </si>
  <si>
    <t>颅骨修补术</t>
  </si>
  <si>
    <t>00330201007000000</t>
  </si>
  <si>
    <t>颅骨凹陷骨折复位术</t>
  </si>
  <si>
    <t>00330201055000000</t>
  </si>
  <si>
    <t>颅缝骨化症整形术</t>
  </si>
  <si>
    <t>00330201057000000</t>
  </si>
  <si>
    <t>颅缝再造术</t>
  </si>
  <si>
    <t>00330603001000000</t>
  </si>
  <si>
    <t>鼻外脑膜脑膨出颅底修补术</t>
  </si>
  <si>
    <t>00330603002000000</t>
  </si>
  <si>
    <t>鼻内脑膜脑膨出颅底修补术</t>
  </si>
  <si>
    <t>00330201051000000</t>
  </si>
  <si>
    <t>脑脊液漏修补术</t>
  </si>
  <si>
    <t>00330202018000000</t>
  </si>
  <si>
    <t>经颅脑脊液耳漏修补术</t>
  </si>
  <si>
    <t>00330201042000000</t>
  </si>
  <si>
    <t>经颅内镜第三脑室底造瘘术</t>
  </si>
  <si>
    <t>00330201049000000</t>
  </si>
  <si>
    <t>终板造瘘术</t>
  </si>
  <si>
    <t>00330201052000000</t>
  </si>
  <si>
    <t>脑脊膜膨出修补术</t>
  </si>
  <si>
    <t>00330203002000000</t>
  </si>
  <si>
    <t>颅内动脉瘤夹闭术</t>
  </si>
  <si>
    <t>00330203002000100</t>
  </si>
  <si>
    <t>颅内动脉瘤夹闭术加收</t>
  </si>
  <si>
    <t>个</t>
  </si>
  <si>
    <t>00330203001000000</t>
  </si>
  <si>
    <t>颅内巨大动脉瘤夹闭切除术</t>
  </si>
  <si>
    <t>00330203001000100</t>
  </si>
  <si>
    <t>颅内巨大动脉瘤夹闭切除术加收</t>
  </si>
  <si>
    <t>00330203001010000</t>
  </si>
  <si>
    <t>颅内巨大基底动脉瘤夹闭切除术</t>
  </si>
  <si>
    <t>00330203001010001</t>
  </si>
  <si>
    <t>颅内巨大基底动脉瘤夹闭切除术加收</t>
  </si>
  <si>
    <t>00330203001020000</t>
  </si>
  <si>
    <t>颅内巨大大脑后动脉瘤夹闭切除术</t>
  </si>
  <si>
    <t>00330203001020001</t>
  </si>
  <si>
    <t>颅内巨大大脑后动脉瘤夹闭切除术加收</t>
  </si>
  <si>
    <t>00330203011000000</t>
  </si>
  <si>
    <t>颈总动脉大脑中动脉吻合术</t>
  </si>
  <si>
    <t>00330203011000100</t>
  </si>
  <si>
    <t>颈总动脉大脑中动脉吻合术+取大隐静脉</t>
  </si>
  <si>
    <t>00330203012000000</t>
  </si>
  <si>
    <t>颅外内动脉搭桥术</t>
  </si>
  <si>
    <t>SX330203004000000</t>
  </si>
  <si>
    <t>颌内动脉-桡动脉-脑血管搭桥术</t>
  </si>
  <si>
    <t>吻合血管</t>
  </si>
  <si>
    <t>SX330203005000000</t>
  </si>
  <si>
    <t>脑血管序贯搭桥术</t>
  </si>
  <si>
    <t>SX330203006000000</t>
  </si>
  <si>
    <t>脑血管双搭桥术</t>
  </si>
  <si>
    <t>两根血管</t>
  </si>
  <si>
    <t>00330201050000000</t>
  </si>
  <si>
    <t>海绵窦瘘直接手术</t>
  </si>
  <si>
    <t>00330201058000000</t>
  </si>
  <si>
    <t>大网膜颅内移植术</t>
  </si>
  <si>
    <t>00330203015000000</t>
  </si>
  <si>
    <t>颅内血管重建术</t>
  </si>
  <si>
    <t>SX330203001000000</t>
  </si>
  <si>
    <t>颅内深部血管重建术</t>
  </si>
  <si>
    <t>支</t>
  </si>
  <si>
    <t>SX330203001000001</t>
  </si>
  <si>
    <t>颅内深部血管重建术加收</t>
  </si>
  <si>
    <t>SX310100017000001</t>
  </si>
  <si>
    <t>侧脑室分流管压力调整术</t>
  </si>
  <si>
    <t>SX310100017000002</t>
  </si>
  <si>
    <t>侧脑室分流管压力调整术定位困难者加收</t>
  </si>
  <si>
    <t>00330201019000000</t>
  </si>
  <si>
    <t>侧脑室分流术</t>
  </si>
  <si>
    <t>00330201019010000</t>
  </si>
  <si>
    <t>侧脑室-心房分流术</t>
  </si>
  <si>
    <t>00330201019020000</t>
  </si>
  <si>
    <t>侧脑室-膀胱分流术</t>
  </si>
  <si>
    <t>00330201019030000</t>
  </si>
  <si>
    <t>侧脑室-腹腔分流术</t>
  </si>
  <si>
    <t>00330204012000000</t>
  </si>
  <si>
    <t>脊髓蛛网膜下腔腹腔分流术</t>
  </si>
  <si>
    <t>00330204013000000</t>
  </si>
  <si>
    <t>脊髓蛛网膜下腔输尿管分流术</t>
  </si>
  <si>
    <t>00330201018000000</t>
  </si>
  <si>
    <t>颅内压监护传感器置入术</t>
  </si>
  <si>
    <t>SX330100018000008</t>
  </si>
  <si>
    <t>脊髓电刺激调控</t>
  </si>
  <si>
    <t>00330204006000000</t>
  </si>
  <si>
    <t>椎管内脓肿切开引流术</t>
  </si>
  <si>
    <t>00330204002000000</t>
  </si>
  <si>
    <t>脊髓空洞症内引流术</t>
  </si>
  <si>
    <t>00330204007000000</t>
  </si>
  <si>
    <t>脊髓内病变切除术</t>
  </si>
  <si>
    <t>00330204010000000</t>
  </si>
  <si>
    <t>脊髓外露修补术</t>
  </si>
  <si>
    <t>00330204011000000</t>
  </si>
  <si>
    <t>脊髓动静脉畸形切除术</t>
  </si>
  <si>
    <t>00330204007000001</t>
  </si>
  <si>
    <t>脊髓内病变切除术加收</t>
  </si>
  <si>
    <t>00330204008000000</t>
  </si>
  <si>
    <t>脊髓硬膜外病变切除术</t>
  </si>
  <si>
    <t>00330204009000000</t>
  </si>
  <si>
    <t>髓外硬脊膜下病变切除术</t>
  </si>
  <si>
    <t>00330204009000100</t>
  </si>
  <si>
    <t>髓外硬脊膜下病变切除术加收</t>
  </si>
  <si>
    <t>00330203007000000</t>
  </si>
  <si>
    <t>颈内动脉内膜剥脱术</t>
  </si>
  <si>
    <t>00330203010000000</t>
  </si>
  <si>
    <t>颈动脉外膜剥脱术</t>
  </si>
  <si>
    <t>00330203010000100</t>
  </si>
  <si>
    <t>颈动脉外膜剥脱术（双侧）</t>
  </si>
  <si>
    <t>00330203010030000</t>
  </si>
  <si>
    <t>迷走神经剥离术</t>
  </si>
  <si>
    <t>00330203010030001</t>
  </si>
  <si>
    <t>迷走神经剥离术（双侧）</t>
  </si>
  <si>
    <t>SX330203002000000</t>
  </si>
  <si>
    <t>颈动脉内膜切除及支架取出术</t>
  </si>
  <si>
    <t>00330203008000000</t>
  </si>
  <si>
    <t>椎动脉内膜剥脱术</t>
  </si>
  <si>
    <t>00330203008000100</t>
  </si>
  <si>
    <t>椎动脉内膜剥脱术+行动脉成形术</t>
  </si>
  <si>
    <t>00330203009000000</t>
  </si>
  <si>
    <t>椎动脉减压术</t>
  </si>
  <si>
    <t>SX330203003000000</t>
  </si>
  <si>
    <t>椎动脉内膜切除及支架取出术</t>
  </si>
  <si>
    <t>00330203013000000</t>
  </si>
  <si>
    <t>颞肌颞浅动脉贴敷术</t>
  </si>
  <si>
    <t>00330203014000000</t>
  </si>
  <si>
    <t>颈动脉结扎术</t>
  </si>
  <si>
    <t>00310100027000000</t>
  </si>
  <si>
    <t>神经阻滞治疗</t>
  </si>
  <si>
    <t>00310100028000000</t>
  </si>
  <si>
    <t>经皮穿刺三叉神经半月节注射治疗术</t>
  </si>
  <si>
    <t>00310100028000001</t>
  </si>
  <si>
    <t>DSA下经皮穿刺三叉神经半月节注射治疗术</t>
  </si>
  <si>
    <t>00330202002000000</t>
  </si>
  <si>
    <t>三叉神经周围支切断术</t>
  </si>
  <si>
    <t>每神经支</t>
  </si>
  <si>
    <t>00330201017000000</t>
  </si>
  <si>
    <t>经颅视神经管减压术</t>
  </si>
  <si>
    <t>00330202001000000</t>
  </si>
  <si>
    <t>三叉神经感觉后根切断术</t>
  </si>
  <si>
    <t>00330202005000000</t>
  </si>
  <si>
    <t>颞部开颅三叉神经节切断术</t>
  </si>
  <si>
    <t>00330202006000000</t>
  </si>
  <si>
    <t xml:space="preserve">迷路后三叉神经切断术 </t>
  </si>
  <si>
    <t>00330202014000000</t>
  </si>
  <si>
    <t xml:space="preserve">经迷路前庭神经切断术 </t>
  </si>
  <si>
    <t>00330202015000000</t>
  </si>
  <si>
    <t xml:space="preserve">迷路后前庭神经切断术 </t>
  </si>
  <si>
    <t>00330202016000000</t>
  </si>
  <si>
    <t>经内镜前庭神经切断术</t>
  </si>
  <si>
    <t>00330202017000000</t>
  </si>
  <si>
    <t>经乙状窦后进路神经切断术</t>
  </si>
  <si>
    <t>00330204003000000</t>
  </si>
  <si>
    <t>脊髓丘脑束切断术</t>
  </si>
  <si>
    <t>00330204005000000</t>
  </si>
  <si>
    <t>脊髓前连合切断术</t>
  </si>
  <si>
    <t>00330204005010000</t>
  </si>
  <si>
    <t>选择性脊神经后根切断术</t>
  </si>
  <si>
    <t>00330204014000000</t>
  </si>
  <si>
    <t>选择性脊神经后根切断术（SPR）</t>
  </si>
  <si>
    <t>00330204022000000</t>
  </si>
  <si>
    <t>神经束膜切断外膜结扎术</t>
  </si>
  <si>
    <t>00330204015000000</t>
  </si>
  <si>
    <t>胸腰交感神经节切断术</t>
  </si>
  <si>
    <t>00330204016000000</t>
  </si>
  <si>
    <t>经胸腔镜交感神经链切除术</t>
  </si>
  <si>
    <t>00331007018000000</t>
  </si>
  <si>
    <t>胰腺周围神经切除术</t>
  </si>
  <si>
    <t>00340200054000000</t>
  </si>
  <si>
    <t>痉挛肢体外周神经切断治疗</t>
  </si>
  <si>
    <t>00330202007000000</t>
  </si>
  <si>
    <t>颅神经微血管减压术</t>
  </si>
  <si>
    <t>00320600003000001</t>
  </si>
  <si>
    <t>经皮穿刺三叉神经微球囊压迫扩张术</t>
  </si>
  <si>
    <t>00330204001000000</t>
  </si>
  <si>
    <t>脊髓和神经根粘连松解术</t>
  </si>
  <si>
    <t>00330204004000000</t>
  </si>
  <si>
    <t>脊髓栓系综合症手术</t>
  </si>
  <si>
    <t>00330204017000000</t>
  </si>
  <si>
    <t>腰骶部潜毛窦切除术</t>
  </si>
  <si>
    <t>00330202011000000</t>
  </si>
  <si>
    <t>面神经松解减压术</t>
  </si>
  <si>
    <t>00330202011000001</t>
  </si>
  <si>
    <t>面神经损伤探查术</t>
  </si>
  <si>
    <t>00330202011010000</t>
  </si>
  <si>
    <t>面神经周围支支配的外周神经松解减压术</t>
  </si>
  <si>
    <t>00330202008000000</t>
  </si>
  <si>
    <t>面神经简单修复术</t>
  </si>
  <si>
    <t>00330202009000000</t>
  </si>
  <si>
    <t>面神经吻合术</t>
  </si>
  <si>
    <t>00330202010000000</t>
  </si>
  <si>
    <t>面神经跨面移植术</t>
  </si>
  <si>
    <t>00330202012000000</t>
  </si>
  <si>
    <t>经耳面神经梳理术</t>
  </si>
  <si>
    <t>00330202013000000</t>
  </si>
  <si>
    <t>面神经周围神经移植术</t>
  </si>
  <si>
    <t>00330204019000000</t>
  </si>
  <si>
    <t>马尾神经吻合术</t>
  </si>
  <si>
    <t>心血管系统类医疗服务项目映射关系表</t>
  </si>
  <si>
    <t>编码</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</si>
</sst>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_ "/>
    <numFmt numFmtId="178" formatCode="[DBNum1][$-804]yyyy&quot;年&quot;m&quot;月&quot;d&quot;日&quot;;@"/>
    <numFmt numFmtId="179" formatCode="0.0_ "/>
  </numFmts>
  <fonts count="40">
    <font>
      <sz val="11"/>
      <name val="宋体"/>
      <charset val="134"/>
    </font>
    <font>
      <sz val="10"/>
      <color theme="1"/>
      <name val="宋体"/>
      <charset val="134"/>
      <scheme val="minor"/>
    </font>
    <font>
      <sz val="10"/>
      <name val="宋体"/>
      <charset val="134"/>
      <scheme val="minor"/>
    </font>
    <font>
      <sz val="12"/>
      <color theme="1"/>
      <name val="方正小标宋简体"/>
      <charset val="134"/>
    </font>
    <font>
      <sz val="10"/>
      <color theme="1"/>
      <name val="黑体"/>
      <charset val="134"/>
    </font>
    <font>
      <b/>
      <sz val="10"/>
      <name val="宋体"/>
      <charset val="134"/>
      <scheme val="minor"/>
    </font>
    <font>
      <sz val="10"/>
      <name val="宋体"/>
      <charset val="134"/>
    </font>
    <font>
      <sz val="10"/>
      <name val="宋体"/>
      <charset val="134"/>
      <scheme val="major"/>
    </font>
    <font>
      <b/>
      <sz val="10"/>
      <name val="宋体"/>
      <charset val="134"/>
      <scheme val="major"/>
    </font>
    <font>
      <sz val="9"/>
      <name val="宋体"/>
      <charset val="134"/>
    </font>
    <font>
      <sz val="10"/>
      <name val="方正小标宋简体"/>
      <charset val="134"/>
    </font>
    <font>
      <b/>
      <sz val="10"/>
      <name val="宋体"/>
      <charset val="134"/>
    </font>
    <font>
      <b/>
      <sz val="12"/>
      <name val="宋体"/>
      <charset val="134"/>
    </font>
    <font>
      <sz val="12"/>
      <name val="方正小标宋简体"/>
      <charset val="134"/>
    </font>
    <font>
      <sz val="10"/>
      <name val="黑体"/>
      <charset val="134"/>
    </font>
    <font>
      <sz val="10"/>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2"/>
      <name val="宋体"/>
      <charset val="134"/>
    </font>
    <font>
      <sz val="11"/>
      <color rgb="FF000000"/>
      <name val="等线"/>
      <charset val="134"/>
    </font>
    <font>
      <sz val="11"/>
      <color rgb="FF00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3">
    <xf numFmtId="0" fontId="0" fillId="0" borderId="0">
      <alignment vertical="center"/>
    </xf>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2" borderId="1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1" applyNumberFormat="0" applyFill="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4" fillId="0" borderId="0" applyNumberFormat="0" applyFill="0" applyBorder="0" applyAlignment="0" applyProtection="0">
      <alignment vertical="center"/>
    </xf>
    <xf numFmtId="0" fontId="25" fillId="3" borderId="13" applyNumberFormat="0" applyAlignment="0" applyProtection="0">
      <alignment vertical="center"/>
    </xf>
    <xf numFmtId="0" fontId="26" fillId="4" borderId="14" applyNumberFormat="0" applyAlignment="0" applyProtection="0">
      <alignment vertical="center"/>
    </xf>
    <xf numFmtId="0" fontId="27" fillId="4" borderId="13" applyNumberFormat="0" applyAlignment="0" applyProtection="0">
      <alignment vertical="center"/>
    </xf>
    <xf numFmtId="0" fontId="28" fillId="5" borderId="15" applyNumberFormat="0" applyAlignment="0" applyProtection="0">
      <alignment vertical="center"/>
    </xf>
    <xf numFmtId="0" fontId="29" fillId="0" borderId="16" applyNumberFormat="0" applyFill="0" applyAlignment="0" applyProtection="0">
      <alignment vertical="center"/>
    </xf>
    <xf numFmtId="0" fontId="30" fillId="0" borderId="17" applyNumberFormat="0" applyFill="0" applyAlignment="0" applyProtection="0">
      <alignment vertical="center"/>
    </xf>
    <xf numFmtId="0" fontId="31" fillId="6" borderId="0" applyNumberFormat="0" applyBorder="0" applyAlignment="0" applyProtection="0">
      <alignment vertical="center"/>
    </xf>
    <xf numFmtId="0" fontId="32" fillId="7" borderId="0" applyNumberFormat="0" applyBorder="0" applyAlignment="0" applyProtection="0">
      <alignment vertical="center"/>
    </xf>
    <xf numFmtId="0" fontId="33" fillId="8" borderId="0" applyNumberFormat="0" applyBorder="0" applyAlignment="0" applyProtection="0">
      <alignment vertical="center"/>
    </xf>
    <xf numFmtId="0" fontId="34" fillId="9" borderId="0" applyNumberFormat="0" applyBorder="0" applyAlignment="0" applyProtection="0">
      <alignment vertical="center"/>
    </xf>
    <xf numFmtId="0" fontId="35" fillId="10" borderId="0" applyNumberFormat="0" applyBorder="0" applyAlignment="0" applyProtection="0">
      <alignment vertical="center"/>
    </xf>
    <xf numFmtId="0" fontId="35" fillId="11" borderId="0" applyNumberFormat="0" applyBorder="0" applyAlignment="0" applyProtection="0">
      <alignment vertical="center"/>
    </xf>
    <xf numFmtId="0" fontId="34"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176" fontId="16" fillId="0" borderId="0">
      <alignment vertical="center"/>
    </xf>
    <xf numFmtId="0" fontId="16" fillId="0" borderId="0">
      <alignment vertical="center"/>
    </xf>
    <xf numFmtId="0" fontId="36" fillId="0" borderId="0">
      <alignment vertical="center"/>
    </xf>
    <xf numFmtId="176" fontId="37" fillId="0" borderId="0">
      <alignment vertical="center"/>
    </xf>
    <xf numFmtId="176" fontId="37" fillId="0" borderId="0"/>
    <xf numFmtId="176" fontId="38" fillId="0" borderId="0">
      <protection locked="0"/>
    </xf>
    <xf numFmtId="0" fontId="16" fillId="0" borderId="0">
      <alignment vertical="center"/>
    </xf>
    <xf numFmtId="176" fontId="38" fillId="0" borderId="0">
      <protection locked="0"/>
    </xf>
    <xf numFmtId="176" fontId="6" fillId="0" borderId="0">
      <alignment vertical="top" wrapText="1"/>
    </xf>
    <xf numFmtId="176" fontId="38" fillId="0" borderId="0">
      <protection locked="0"/>
    </xf>
    <xf numFmtId="0" fontId="39" fillId="0" borderId="0">
      <protection locked="0"/>
    </xf>
    <xf numFmtId="176" fontId="16" fillId="0" borderId="0">
      <alignment vertical="center"/>
    </xf>
    <xf numFmtId="0" fontId="39" fillId="0" borderId="0">
      <protection locked="0"/>
    </xf>
    <xf numFmtId="176" fontId="16" fillId="0" borderId="0">
      <alignment vertical="center"/>
    </xf>
  </cellStyleXfs>
  <cellXfs count="141">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wrapText="1"/>
    </xf>
    <xf numFmtId="0" fontId="1" fillId="0" borderId="0" xfId="0" applyFont="1" applyFill="1" applyAlignment="1">
      <alignment horizontal="center" vertical="center"/>
    </xf>
    <xf numFmtId="0" fontId="1" fillId="0" borderId="0" xfId="0" applyFont="1" applyFill="1" applyAlignment="1">
      <alignment horizontal="left" vertical="center"/>
    </xf>
    <xf numFmtId="0" fontId="3" fillId="0" borderId="0" xfId="0" applyFont="1" applyFill="1" applyAlignment="1">
      <alignment horizontal="center" vertical="center" wrapText="1"/>
    </xf>
    <xf numFmtId="0" fontId="3" fillId="0" borderId="0" xfId="0" applyFont="1" applyFill="1" applyAlignment="1">
      <alignment horizontal="left" vertical="center" wrapText="1"/>
    </xf>
    <xf numFmtId="0" fontId="4" fillId="0" borderId="1" xfId="0" applyFont="1" applyFill="1" applyBorder="1" applyAlignment="1">
      <alignment horizontal="center" vertical="center"/>
    </xf>
    <xf numFmtId="177" fontId="5" fillId="0" borderId="1" xfId="62" applyNumberFormat="1" applyFont="1" applyFill="1" applyBorder="1" applyAlignment="1">
      <alignment horizontal="center" vertical="center" wrapText="1"/>
    </xf>
    <xf numFmtId="0" fontId="5" fillId="0" borderId="1" xfId="60" applyNumberFormat="1"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left" vertical="center" wrapText="1"/>
    </xf>
    <xf numFmtId="177" fontId="2" fillId="0" borderId="1" xfId="61" applyNumberFormat="1" applyFont="1" applyFill="1" applyBorder="1" applyAlignment="1" applyProtection="1">
      <alignment horizontal="left" vertical="center" wrapText="1"/>
    </xf>
    <xf numFmtId="0" fontId="2" fillId="0" borderId="1" xfId="61" applyNumberFormat="1" applyFont="1" applyFill="1" applyBorder="1" applyAlignment="1" applyProtection="1">
      <alignment horizontal="left" vertical="center" wrapText="1"/>
    </xf>
    <xf numFmtId="0" fontId="6" fillId="0" borderId="3" xfId="0" applyFont="1" applyFill="1" applyBorder="1" applyAlignment="1">
      <alignment horizontal="center" vertical="center" wrapText="1"/>
    </xf>
    <xf numFmtId="0" fontId="6" fillId="0" borderId="3" xfId="0" applyFont="1" applyFill="1" applyBorder="1" applyAlignment="1">
      <alignment horizontal="left" vertical="center" wrapText="1"/>
    </xf>
    <xf numFmtId="0" fontId="2" fillId="0" borderId="1" xfId="0" applyFont="1" applyFill="1" applyBorder="1" applyAlignment="1">
      <alignment horizontal="left" vertical="center" wrapText="1"/>
    </xf>
    <xf numFmtId="0" fontId="6" fillId="0" borderId="1" xfId="58" applyNumberFormat="1" applyFont="1" applyFill="1" applyBorder="1" applyAlignment="1" applyProtection="1">
      <alignment horizontal="left" vertical="center" wrapText="1"/>
    </xf>
    <xf numFmtId="0" fontId="6" fillId="0" borderId="4" xfId="0" applyFont="1" applyFill="1" applyBorder="1" applyAlignment="1">
      <alignment horizontal="center" vertical="center" wrapText="1"/>
    </xf>
    <xf numFmtId="0" fontId="6" fillId="0" borderId="4"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177" fontId="7" fillId="0" borderId="1" xfId="61" applyNumberFormat="1" applyFont="1" applyFill="1" applyBorder="1" applyAlignment="1" applyProtection="1">
      <alignment horizontal="left" vertical="center" wrapText="1"/>
    </xf>
    <xf numFmtId="0" fontId="7" fillId="0" borderId="1" xfId="61" applyNumberFormat="1" applyFont="1" applyFill="1" applyBorder="1" applyAlignment="1" applyProtection="1">
      <alignment horizontal="left" vertical="center" wrapText="1"/>
      <protection locked="0"/>
    </xf>
    <xf numFmtId="0" fontId="2" fillId="0" borderId="2" xfId="0" applyFont="1" applyFill="1" applyBorder="1" applyAlignment="1">
      <alignment horizontal="center" vertical="center" wrapText="1"/>
    </xf>
    <xf numFmtId="0" fontId="2" fillId="0" borderId="2" xfId="0" applyFont="1" applyFill="1" applyBorder="1" applyAlignment="1">
      <alignment horizontal="left" vertical="center" wrapText="1"/>
    </xf>
    <xf numFmtId="0" fontId="2" fillId="0" borderId="1" xfId="61" applyNumberFormat="1" applyFont="1" applyFill="1" applyBorder="1" applyAlignment="1" applyProtection="1">
      <alignment horizontal="left" vertical="center" wrapText="1"/>
      <protection locked="0"/>
    </xf>
    <xf numFmtId="0" fontId="2" fillId="0" borderId="3"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2"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0" fontId="6" fillId="0" borderId="1" xfId="61" applyNumberFormat="1" applyFont="1" applyFill="1" applyBorder="1" applyAlignment="1" applyProtection="1">
      <alignment horizontal="left" vertical="center" wrapText="1"/>
    </xf>
    <xf numFmtId="0" fontId="2" fillId="0" borderId="1" xfId="0" applyFont="1" applyFill="1" applyBorder="1" applyAlignment="1">
      <alignment horizontal="center" vertical="center" wrapText="1"/>
    </xf>
    <xf numFmtId="0" fontId="6" fillId="0" borderId="1" xfId="49" applyNumberFormat="1" applyFont="1" applyFill="1" applyBorder="1" applyAlignment="1">
      <alignment horizontal="left" vertical="center" wrapText="1"/>
    </xf>
    <xf numFmtId="0" fontId="2" fillId="0" borderId="1" xfId="61" applyFont="1" applyFill="1" applyBorder="1" applyAlignment="1" applyProtection="1">
      <alignment horizontal="left" vertical="center" wrapText="1"/>
    </xf>
    <xf numFmtId="178" fontId="6" fillId="0" borderId="1" xfId="51" applyNumberFormat="1" applyFont="1" applyFill="1" applyBorder="1" applyAlignment="1">
      <alignment horizontal="left" vertical="center" wrapText="1"/>
    </xf>
    <xf numFmtId="49" fontId="6" fillId="0" borderId="1" xfId="58" applyNumberFormat="1" applyFont="1" applyFill="1" applyBorder="1" applyAlignment="1" applyProtection="1">
      <alignment horizontal="left" vertical="center" wrapText="1"/>
    </xf>
    <xf numFmtId="0" fontId="6" fillId="0" borderId="1" xfId="58" applyNumberFormat="1" applyFont="1" applyFill="1" applyBorder="1" applyAlignment="1" applyProtection="1">
      <alignment horizontal="left" vertical="center" wrapText="1"/>
      <protection locked="0"/>
    </xf>
    <xf numFmtId="0" fontId="7" fillId="0" borderId="0" xfId="0" applyFont="1" applyFill="1">
      <alignment vertical="center"/>
    </xf>
    <xf numFmtId="0" fontId="7" fillId="0" borderId="0" xfId="0" applyFont="1" applyFill="1" applyAlignment="1">
      <alignment horizontal="center" vertical="center"/>
    </xf>
    <xf numFmtId="0" fontId="7" fillId="0" borderId="0" xfId="0" applyFont="1" applyFill="1" applyAlignment="1">
      <alignment horizontal="left" vertical="center"/>
    </xf>
    <xf numFmtId="0" fontId="8" fillId="0" borderId="0" xfId="0" applyFont="1" applyFill="1" applyAlignment="1">
      <alignment horizontal="center" vertical="center"/>
    </xf>
    <xf numFmtId="0" fontId="8" fillId="0" borderId="0" xfId="0" applyFont="1" applyFill="1" applyAlignment="1">
      <alignment horizontal="left" vertical="center"/>
    </xf>
    <xf numFmtId="0" fontId="7" fillId="0" borderId="1" xfId="0" applyFont="1" applyFill="1" applyBorder="1" applyAlignment="1">
      <alignment horizontal="center" vertical="center"/>
    </xf>
    <xf numFmtId="0" fontId="7" fillId="0" borderId="1" xfId="0" applyFont="1" applyFill="1" applyBorder="1" applyAlignment="1">
      <alignment horizontal="left" vertical="center"/>
    </xf>
    <xf numFmtId="0" fontId="7" fillId="0" borderId="4" xfId="59" applyFont="1" applyFill="1" applyBorder="1" applyAlignment="1" applyProtection="1">
      <alignment horizontal="center" vertical="center" wrapText="1"/>
    </xf>
    <xf numFmtId="0" fontId="7" fillId="0" borderId="4" xfId="59" applyFont="1" applyFill="1" applyBorder="1" applyAlignment="1" applyProtection="1">
      <alignment horizontal="left" vertical="center" wrapText="1"/>
    </xf>
    <xf numFmtId="0" fontId="7" fillId="0" borderId="4" xfId="0" applyFont="1" applyFill="1" applyBorder="1" applyAlignment="1">
      <alignment horizontal="center" vertical="center" wrapText="1"/>
    </xf>
    <xf numFmtId="0" fontId="7" fillId="0" borderId="1" xfId="59" applyFont="1" applyFill="1" applyBorder="1" applyAlignment="1" applyProtection="1">
      <alignment horizontal="center" vertical="center" wrapText="1"/>
    </xf>
    <xf numFmtId="0" fontId="7"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49" fontId="7" fillId="0" borderId="1" xfId="58" applyNumberFormat="1" applyFont="1" applyFill="1" applyBorder="1" applyAlignment="1" applyProtection="1">
      <alignment horizontal="center" vertical="center" wrapText="1"/>
    </xf>
    <xf numFmtId="0" fontId="7" fillId="0" borderId="1" xfId="58" applyNumberFormat="1" applyFont="1" applyFill="1" applyBorder="1" applyAlignment="1" applyProtection="1">
      <alignment horizontal="left" vertical="center" wrapText="1"/>
    </xf>
    <xf numFmtId="0" fontId="7" fillId="0" borderId="1" xfId="58" applyNumberFormat="1" applyFont="1" applyFill="1" applyBorder="1" applyAlignment="1" applyProtection="1">
      <alignment horizontal="center" vertical="center" wrapText="1"/>
    </xf>
    <xf numFmtId="177" fontId="7" fillId="0" borderId="1" xfId="61" applyNumberFormat="1" applyFont="1" applyFill="1" applyBorder="1" applyAlignment="1" applyProtection="1">
      <alignment horizontal="center" vertical="center" wrapText="1"/>
    </xf>
    <xf numFmtId="0" fontId="7" fillId="0" borderId="1" xfId="61" applyNumberFormat="1" applyFont="1" applyFill="1" applyBorder="1" applyAlignment="1" applyProtection="1">
      <alignment horizontal="left" vertical="center" wrapText="1"/>
    </xf>
    <xf numFmtId="0" fontId="7" fillId="0" borderId="1" xfId="61" applyNumberFormat="1" applyFont="1" applyFill="1" applyBorder="1" applyAlignment="1" applyProtection="1">
      <alignment horizontal="center" vertical="center" wrapText="1"/>
    </xf>
    <xf numFmtId="0" fontId="7" fillId="0" borderId="1" xfId="61" applyFont="1" applyFill="1" applyBorder="1" applyAlignment="1" applyProtection="1">
      <alignment horizontal="left" vertical="center" wrapText="1"/>
    </xf>
    <xf numFmtId="0" fontId="7" fillId="0" borderId="1" xfId="61" applyFont="1" applyFill="1" applyBorder="1" applyAlignment="1">
      <alignment horizontal="left" vertical="center" wrapText="1"/>
      <protection locked="0"/>
    </xf>
    <xf numFmtId="0" fontId="7" fillId="0" borderId="1" xfId="58" applyNumberFormat="1" applyFont="1" applyFill="1" applyBorder="1" applyAlignment="1">
      <alignment horizontal="left" vertical="center" wrapText="1"/>
      <protection locked="0"/>
    </xf>
    <xf numFmtId="0" fontId="7" fillId="0" borderId="1" xfId="58" applyNumberFormat="1" applyFont="1" applyFill="1" applyBorder="1" applyAlignment="1">
      <alignment horizontal="center" vertical="center" wrapText="1"/>
      <protection locked="0"/>
    </xf>
    <xf numFmtId="0" fontId="7" fillId="0" borderId="1" xfId="58" applyNumberFormat="1" applyFont="1" applyFill="1" applyBorder="1" applyAlignment="1" applyProtection="1">
      <alignment horizontal="left" vertical="center" wrapText="1"/>
      <protection locked="0"/>
    </xf>
    <xf numFmtId="0" fontId="7" fillId="0" borderId="1" xfId="61" applyNumberFormat="1" applyFont="1" applyFill="1" applyBorder="1" applyAlignment="1" applyProtection="1">
      <alignment horizontal="left" vertical="center" wrapText="1"/>
      <protection locked="0"/>
    </xf>
    <xf numFmtId="0" fontId="7" fillId="0" borderId="1" xfId="61" applyNumberFormat="1" applyFont="1" applyFill="1" applyBorder="1" applyAlignment="1" applyProtection="1">
      <alignment horizontal="center" vertical="center" wrapText="1"/>
      <protection locked="0"/>
    </xf>
    <xf numFmtId="0" fontId="7" fillId="0" borderId="1" xfId="50" applyFont="1" applyFill="1" applyBorder="1" applyAlignment="1">
      <alignment horizontal="center" vertical="center" wrapText="1"/>
    </xf>
    <xf numFmtId="49" fontId="9" fillId="0" borderId="1" xfId="58" applyNumberFormat="1" applyFont="1" applyFill="1" applyBorder="1" applyAlignment="1" applyProtection="1">
      <alignment horizontal="center" vertical="center" wrapText="1"/>
    </xf>
    <xf numFmtId="0" fontId="9" fillId="0" borderId="1" xfId="58" applyNumberFormat="1" applyFont="1" applyFill="1" applyBorder="1" applyAlignment="1" applyProtection="1">
      <alignment vertical="center" wrapText="1"/>
    </xf>
    <xf numFmtId="0" fontId="7" fillId="0" borderId="1" xfId="49" applyNumberFormat="1" applyFont="1" applyFill="1" applyBorder="1" applyAlignment="1">
      <alignment horizontal="left" vertical="center" wrapText="1"/>
    </xf>
    <xf numFmtId="0" fontId="7" fillId="0" borderId="1" xfId="49" applyNumberFormat="1" applyFont="1" applyFill="1" applyBorder="1" applyAlignment="1">
      <alignment horizontal="center" vertical="center" wrapText="1"/>
    </xf>
    <xf numFmtId="0" fontId="7" fillId="0" borderId="1" xfId="58" applyNumberFormat="1" applyFont="1" applyFill="1" applyBorder="1" applyAlignment="1" applyProtection="1">
      <alignment horizontal="center" vertical="center" wrapText="1"/>
      <protection locked="0"/>
    </xf>
    <xf numFmtId="0" fontId="7" fillId="0" borderId="1" xfId="50" applyFont="1" applyFill="1" applyBorder="1" applyAlignment="1">
      <alignment horizontal="left" vertical="center" wrapText="1"/>
    </xf>
    <xf numFmtId="177" fontId="7" fillId="0" borderId="1" xfId="61" applyNumberFormat="1" applyFont="1" applyFill="1" applyBorder="1" applyAlignment="1" applyProtection="1">
      <alignment horizontal="center" vertical="center" wrapText="1"/>
      <protection locked="0"/>
    </xf>
    <xf numFmtId="0" fontId="7" fillId="0" borderId="5" xfId="58" applyNumberFormat="1" applyFont="1" applyFill="1" applyBorder="1" applyAlignment="1" applyProtection="1">
      <alignment horizontal="left" vertical="center" wrapText="1"/>
      <protection locked="0"/>
    </xf>
    <xf numFmtId="0" fontId="7" fillId="0" borderId="5" xfId="0" applyFont="1" applyFill="1" applyBorder="1" applyAlignment="1">
      <alignment horizontal="left" vertical="center" wrapText="1"/>
    </xf>
    <xf numFmtId="49" fontId="7" fillId="0" borderId="1" xfId="52" applyNumberFormat="1" applyFont="1" applyFill="1" applyBorder="1" applyAlignment="1">
      <alignment horizontal="center" vertical="center" wrapText="1"/>
    </xf>
    <xf numFmtId="0" fontId="7" fillId="0" borderId="5" xfId="57" applyNumberFormat="1" applyFont="1" applyFill="1" applyBorder="1" applyAlignment="1" applyProtection="1">
      <alignment horizontal="left" vertical="center" wrapText="1"/>
      <protection locked="0"/>
    </xf>
    <xf numFmtId="0" fontId="7" fillId="0" borderId="1" xfId="57" applyNumberFormat="1" applyFont="1" applyFill="1" applyBorder="1" applyAlignment="1" applyProtection="1">
      <alignment horizontal="center" vertical="center" wrapText="1"/>
      <protection locked="0"/>
    </xf>
    <xf numFmtId="0" fontId="7" fillId="0" borderId="5" xfId="58" applyNumberFormat="1" applyFont="1" applyFill="1" applyBorder="1" applyAlignment="1" applyProtection="1">
      <alignment horizontal="left" vertical="center" wrapText="1"/>
    </xf>
    <xf numFmtId="0" fontId="7" fillId="0" borderId="6" xfId="58" applyNumberFormat="1" applyFont="1" applyFill="1" applyBorder="1" applyAlignment="1" applyProtection="1">
      <alignment horizontal="left" vertical="center" wrapText="1"/>
      <protection locked="0"/>
    </xf>
    <xf numFmtId="0" fontId="7" fillId="0" borderId="2" xfId="58" applyNumberFormat="1" applyFont="1" applyFill="1" applyBorder="1" applyAlignment="1" applyProtection="1">
      <alignment horizontal="center" vertical="center" wrapText="1"/>
      <protection locked="0"/>
    </xf>
    <xf numFmtId="0" fontId="7" fillId="0" borderId="7" xfId="58" applyNumberFormat="1" applyFont="1" applyFill="1" applyBorder="1" applyAlignment="1" applyProtection="1">
      <alignment horizontal="left" vertical="center" wrapText="1"/>
      <protection locked="0"/>
    </xf>
    <xf numFmtId="0" fontId="7" fillId="0" borderId="4" xfId="58" applyNumberFormat="1" applyFont="1" applyFill="1" applyBorder="1" applyAlignment="1" applyProtection="1">
      <alignment horizontal="center" vertical="center" wrapText="1"/>
      <protection locked="0"/>
    </xf>
    <xf numFmtId="0" fontId="7" fillId="0" borderId="5" xfId="52" applyNumberFormat="1" applyFont="1" applyFill="1" applyBorder="1" applyAlignment="1" applyProtection="1">
      <alignment horizontal="left" vertical="center" wrapText="1"/>
      <protection locked="0"/>
    </xf>
    <xf numFmtId="0" fontId="7" fillId="0" borderId="5" xfId="61" applyNumberFormat="1" applyFont="1" applyFill="1" applyBorder="1" applyAlignment="1" applyProtection="1">
      <alignment horizontal="left" vertical="center" wrapText="1"/>
      <protection locked="0"/>
    </xf>
    <xf numFmtId="0" fontId="7" fillId="0" borderId="1" xfId="52" applyNumberFormat="1" applyFont="1" applyFill="1" applyBorder="1" applyAlignment="1" applyProtection="1">
      <alignment horizontal="center" vertical="center" wrapText="1"/>
      <protection locked="0"/>
    </xf>
    <xf numFmtId="0" fontId="7" fillId="0" borderId="5" xfId="52" applyNumberFormat="1" applyFont="1" applyFill="1" applyBorder="1" applyAlignment="1" applyProtection="1">
      <alignment horizontal="center" vertical="center" wrapText="1"/>
      <protection locked="0"/>
    </xf>
    <xf numFmtId="0" fontId="7" fillId="0" borderId="5" xfId="58" applyNumberFormat="1" applyFont="1" applyFill="1" applyBorder="1" applyAlignment="1" applyProtection="1">
      <alignment horizontal="center" vertical="center" wrapText="1"/>
      <protection locked="0"/>
    </xf>
    <xf numFmtId="0" fontId="7" fillId="0" borderId="1" xfId="52" applyNumberFormat="1" applyFont="1" applyFill="1" applyBorder="1" applyAlignment="1">
      <alignment horizontal="left" vertical="center" wrapText="1"/>
    </xf>
    <xf numFmtId="0" fontId="7" fillId="0" borderId="1" xfId="52"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7" fillId="0" borderId="1" xfId="54" applyNumberFormat="1" applyFont="1" applyFill="1" applyBorder="1" applyAlignment="1" applyProtection="1">
      <alignment horizontal="center" vertical="center" wrapText="1"/>
    </xf>
    <xf numFmtId="0" fontId="7" fillId="0" borderId="1" xfId="55" applyNumberFormat="1" applyFont="1" applyFill="1" applyBorder="1" applyAlignment="1">
      <alignment horizontal="center" vertical="center" wrapText="1"/>
    </xf>
    <xf numFmtId="0" fontId="7" fillId="0" borderId="1" xfId="55" applyNumberFormat="1" applyFont="1" applyFill="1" applyBorder="1" applyAlignment="1">
      <alignment horizontal="left" vertical="center" wrapText="1"/>
    </xf>
    <xf numFmtId="49" fontId="7" fillId="0" borderId="1" xfId="53" applyNumberFormat="1" applyFont="1" applyFill="1" applyBorder="1" applyAlignment="1">
      <alignment horizontal="center" vertical="center" wrapText="1"/>
    </xf>
    <xf numFmtId="0" fontId="7" fillId="0" borderId="1" xfId="53" applyNumberFormat="1" applyFont="1" applyFill="1" applyBorder="1" applyAlignment="1" applyProtection="1">
      <alignment horizontal="left" vertical="center" wrapText="1"/>
      <protection locked="0"/>
    </xf>
    <xf numFmtId="0" fontId="10" fillId="0" borderId="0" xfId="0" applyFont="1" applyFill="1" applyAlignment="1">
      <alignment vertical="center" wrapText="1"/>
    </xf>
    <xf numFmtId="0" fontId="11" fillId="0" borderId="0" xfId="0" applyFont="1" applyFill="1" applyAlignment="1">
      <alignment horizontal="center" vertical="center" wrapText="1"/>
    </xf>
    <xf numFmtId="0" fontId="6" fillId="0" borderId="0" xfId="0" applyFont="1" applyFill="1" applyAlignment="1">
      <alignment vertical="center" wrapText="1"/>
    </xf>
    <xf numFmtId="0" fontId="6" fillId="0" borderId="0" xfId="0" applyFont="1" applyFill="1" applyAlignment="1">
      <alignment horizontal="center" vertical="center" wrapText="1"/>
    </xf>
    <xf numFmtId="0" fontId="6" fillId="0" borderId="0" xfId="0" applyFont="1" applyFill="1" applyAlignment="1">
      <alignment horizontal="left" vertical="center" wrapText="1"/>
    </xf>
    <xf numFmtId="0" fontId="12" fillId="0" borderId="0" xfId="0" applyFont="1" applyFill="1" applyAlignment="1">
      <alignment horizontal="left" vertical="center" wrapText="1"/>
    </xf>
    <xf numFmtId="0" fontId="13" fillId="0" borderId="0" xfId="0" applyFont="1" applyFill="1" applyBorder="1" applyAlignment="1">
      <alignment horizontal="center" vertical="center" wrapText="1"/>
    </xf>
    <xf numFmtId="0" fontId="11" fillId="0" borderId="1" xfId="0" applyFont="1" applyFill="1" applyBorder="1" applyAlignment="1">
      <alignment horizontal="center" vertical="center" wrapText="1"/>
    </xf>
    <xf numFmtId="49" fontId="14" fillId="0" borderId="1" xfId="51" applyNumberFormat="1" applyFont="1" applyFill="1" applyBorder="1" applyAlignment="1">
      <alignment horizontal="center" vertical="center" wrapText="1"/>
    </xf>
    <xf numFmtId="0" fontId="6" fillId="0" borderId="1" xfId="0" applyFont="1" applyFill="1" applyBorder="1" applyAlignment="1">
      <alignment vertical="center" wrapText="1"/>
    </xf>
    <xf numFmtId="0" fontId="9" fillId="0" borderId="8" xfId="0" applyFont="1" applyFill="1" applyBorder="1" applyAlignment="1">
      <alignment horizontal="left" vertical="center" wrapText="1"/>
    </xf>
    <xf numFmtId="0" fontId="9" fillId="0" borderId="9" xfId="0" applyFont="1" applyFill="1" applyBorder="1" applyAlignment="1">
      <alignment horizontal="left" vertical="center" wrapText="1"/>
    </xf>
    <xf numFmtId="0" fontId="9" fillId="0" borderId="5" xfId="0" applyFont="1" applyFill="1" applyBorder="1" applyAlignment="1">
      <alignment horizontal="left" vertical="center" wrapText="1"/>
    </xf>
    <xf numFmtId="0" fontId="6" fillId="0" borderId="2" xfId="0" applyFont="1" applyFill="1" applyBorder="1" applyAlignment="1">
      <alignment horizontal="center" vertical="center" wrapText="1"/>
    </xf>
    <xf numFmtId="0" fontId="15" fillId="0" borderId="1" xfId="0" applyFont="1" applyFill="1" applyBorder="1" applyAlignment="1">
      <alignment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2" fillId="0" borderId="1" xfId="0" applyFont="1" applyFill="1" applyBorder="1" applyAlignment="1">
      <alignment horizontal="center" vertical="center"/>
    </xf>
    <xf numFmtId="0" fontId="6" fillId="0" borderId="1" xfId="61" applyFont="1" applyFill="1" applyBorder="1" applyAlignment="1" applyProtection="1">
      <alignment vertical="center" wrapText="1"/>
    </xf>
    <xf numFmtId="0" fontId="6" fillId="0" borderId="2" xfId="0" applyFont="1" applyFill="1" applyBorder="1" applyAlignment="1">
      <alignment horizontal="left" vertical="center" wrapText="1"/>
    </xf>
    <xf numFmtId="0" fontId="2" fillId="0" borderId="1" xfId="0" applyFont="1" applyFill="1" applyBorder="1" applyAlignment="1">
      <alignment vertical="center"/>
    </xf>
    <xf numFmtId="0" fontId="6" fillId="0" borderId="4" xfId="0" applyFont="1" applyFill="1" applyBorder="1" applyAlignment="1">
      <alignment horizontal="left" vertical="center" wrapText="1"/>
    </xf>
    <xf numFmtId="0" fontId="2" fillId="0" borderId="2"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2"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0" fontId="5" fillId="0" borderId="1" xfId="0" applyFont="1" applyFill="1" applyBorder="1" applyAlignment="1">
      <alignment vertical="center" wrapText="1"/>
    </xf>
    <xf numFmtId="179" fontId="2" fillId="0" borderId="1" xfId="0" applyNumberFormat="1" applyFont="1" applyFill="1" applyBorder="1" applyAlignment="1">
      <alignment horizontal="center" vertical="center" wrapText="1"/>
    </xf>
    <xf numFmtId="0" fontId="2" fillId="0" borderId="1" xfId="61" applyFont="1" applyFill="1" applyBorder="1" applyAlignment="1" applyProtection="1">
      <alignment vertical="center" wrapText="1"/>
    </xf>
    <xf numFmtId="178" fontId="6" fillId="0" borderId="1" xfId="51" applyNumberFormat="1" applyFont="1" applyFill="1" applyBorder="1" applyAlignment="1">
      <alignment vertical="center" wrapText="1"/>
    </xf>
    <xf numFmtId="0" fontId="2" fillId="0" borderId="1" xfId="51" applyNumberFormat="1" applyFont="1" applyFill="1" applyBorder="1" applyAlignment="1">
      <alignment horizontal="left" vertical="center" wrapText="1"/>
    </xf>
    <xf numFmtId="0" fontId="6" fillId="0" borderId="3" xfId="0" applyFont="1" applyFill="1" applyBorder="1" applyAlignment="1">
      <alignment horizontal="left" vertical="center" wrapText="1"/>
    </xf>
    <xf numFmtId="177" fontId="6" fillId="0" borderId="1" xfId="0" applyNumberFormat="1" applyFont="1" applyFill="1" applyBorder="1" applyAlignment="1">
      <alignment horizontal="center" vertical="center" wrapText="1"/>
    </xf>
    <xf numFmtId="178" fontId="6" fillId="0" borderId="1" xfId="51" applyNumberFormat="1" applyFont="1" applyFill="1" applyBorder="1" applyAlignment="1">
      <alignment horizontal="left" vertical="center" wrapText="1"/>
    </xf>
    <xf numFmtId="177" fontId="2" fillId="0" borderId="1" xfId="0" applyNumberFormat="1" applyFont="1" applyFill="1" applyBorder="1" applyAlignment="1">
      <alignment horizontal="center" vertical="center" wrapText="1"/>
    </xf>
    <xf numFmtId="0" fontId="15" fillId="0" borderId="1" xfId="0" applyFont="1" applyFill="1" applyBorder="1" applyAlignment="1">
      <alignment vertical="center"/>
    </xf>
    <xf numFmtId="0" fontId="15" fillId="0" borderId="0" xfId="0" applyFont="1" applyFill="1" applyAlignment="1">
      <alignment vertical="center" wrapText="1"/>
    </xf>
    <xf numFmtId="0" fontId="15" fillId="0" borderId="0" xfId="0" applyFont="1" applyFill="1" applyAlignment="1">
      <alignment vertical="center"/>
    </xf>
    <xf numFmtId="0" fontId="2" fillId="0" borderId="1" xfId="61" applyNumberFormat="1" applyFont="1" applyFill="1" applyBorder="1" applyAlignment="1" applyProtection="1">
      <alignment horizontal="center" vertical="center" wrapText="1"/>
    </xf>
    <xf numFmtId="0" fontId="7" fillId="0" borderId="4" xfId="59" applyFont="1" applyFill="1" applyBorder="1" applyAlignment="1" applyProtection="1" quotePrefix="1">
      <alignment horizontal="center" vertical="center" wrapText="1"/>
    </xf>
    <xf numFmtId="0" fontId="7" fillId="0" borderId="1" xfId="59" applyFont="1" applyFill="1" applyBorder="1" applyAlignment="1" applyProtection="1" quotePrefix="1">
      <alignment horizontal="center" vertical="center" wrapText="1"/>
    </xf>
    <xf numFmtId="0" fontId="7" fillId="0" borderId="1" xfId="0" applyFont="1" applyFill="1" applyBorder="1" applyAlignment="1" quotePrefix="1">
      <alignment horizontal="center" vertical="center" wrapText="1"/>
    </xf>
    <xf numFmtId="0" fontId="7" fillId="0" borderId="1" xfId="61" applyNumberFormat="1" applyFont="1" applyFill="1" applyBorder="1" applyAlignment="1" applyProtection="1" quotePrefix="1">
      <alignment horizontal="center" vertical="center" wrapText="1"/>
    </xf>
    <xf numFmtId="177" fontId="7" fillId="0" borderId="1" xfId="61" applyNumberFormat="1" applyFont="1" applyFill="1" applyBorder="1" applyAlignment="1" applyProtection="1" quotePrefix="1">
      <alignment horizontal="center" vertical="center" wrapText="1"/>
    </xf>
    <xf numFmtId="0" fontId="2" fillId="0" borderId="1" xfId="0" applyFont="1" applyFill="1" applyBorder="1" applyAlignment="1" quotePrefix="1">
      <alignment horizontal="left" vertical="center" wrapText="1"/>
    </xf>
    <xf numFmtId="0" fontId="2" fillId="0" borderId="1" xfId="61" applyNumberFormat="1" applyFont="1" applyFill="1" applyBorder="1" applyAlignment="1" applyProtection="1" quotePrefix="1">
      <alignment horizontal="left" vertical="center" wrapText="1"/>
    </xf>
    <xf numFmtId="177" fontId="2" fillId="0" borderId="1" xfId="61" applyNumberFormat="1" applyFont="1" applyFill="1" applyBorder="1" applyAlignment="1" applyProtection="1" quotePrefix="1">
      <alignment horizontal="left" vertical="center" wrapText="1"/>
    </xf>
  </cellXfs>
  <cellStyles count="6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71" xfId="49"/>
    <cellStyle name="常规 186" xfId="50"/>
    <cellStyle name="常规 28" xfId="51"/>
    <cellStyle name="常规_Sheet1 3" xfId="52"/>
    <cellStyle name="常规_Sheet1_1 3" xfId="53"/>
    <cellStyle name="常规 3 10 2 2" xfId="54"/>
    <cellStyle name="常规 3 2" xfId="55"/>
    <cellStyle name="常规 3 13 4 2" xfId="56"/>
    <cellStyle name="常规_成稿16.3 3" xfId="57"/>
    <cellStyle name="常规 2 3" xfId="58"/>
    <cellStyle name="常规 3" xfId="59"/>
    <cellStyle name="常规 3 10 2" xfId="60"/>
    <cellStyle name="常规 2" xfId="61"/>
    <cellStyle name="常规 3 7 2" xfId="62"/>
  </cellStyles>
  <dxfs count="1">
    <dxf>
      <fill>
        <patternFill patternType="solid">
          <bgColor rgb="FFFF9900"/>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298"/>
  <sheetViews>
    <sheetView tabSelected="1" view="pageBreakPreview" zoomScale="90" zoomScaleNormal="100" workbookViewId="0">
      <pane xSplit="7" ySplit="3" topLeftCell="H4" activePane="bottomRight" state="frozen"/>
      <selection/>
      <selection pane="topRight"/>
      <selection pane="bottomLeft"/>
      <selection pane="bottomRight" activeCell="C4" sqref="C4"/>
    </sheetView>
  </sheetViews>
  <sheetFormatPr defaultColWidth="9" defaultRowHeight="13" outlineLevelCol="6"/>
  <cols>
    <col min="1" max="1" width="5.75454545454545" style="98" customWidth="1"/>
    <col min="2" max="2" width="16.7545454545455" style="98" customWidth="1"/>
    <col min="3" max="3" width="20.6272727272727" style="99" customWidth="1"/>
    <col min="4" max="4" width="60.2545454545455" style="99" customWidth="1"/>
    <col min="5" max="5" width="8.87272727272727" style="98" customWidth="1"/>
    <col min="6" max="6" width="41.1272727272727" style="99" customWidth="1"/>
    <col min="7" max="7" width="15.1272727272727" style="98" customWidth="1"/>
    <col min="8" max="16384" width="9" style="97"/>
  </cols>
  <sheetData>
    <row r="1" ht="14" customHeight="1" spans="1:7">
      <c r="A1" s="100" t="s">
        <v>0</v>
      </c>
      <c r="B1" s="100"/>
      <c r="C1" s="100"/>
      <c r="D1" s="100"/>
      <c r="E1" s="100"/>
      <c r="F1" s="100"/>
      <c r="G1" s="100"/>
    </row>
    <row r="2" s="95" customFormat="1" ht="17" customHeight="1" spans="1:7">
      <c r="A2" s="101" t="s">
        <v>1</v>
      </c>
      <c r="B2" s="101"/>
      <c r="C2" s="101"/>
      <c r="D2" s="101"/>
      <c r="E2" s="101"/>
      <c r="F2" s="101"/>
      <c r="G2" s="101"/>
    </row>
    <row r="3" s="96" customFormat="1" ht="30" customHeight="1" spans="1:7">
      <c r="A3" s="102" t="s">
        <v>2</v>
      </c>
      <c r="B3" s="102" t="s">
        <v>3</v>
      </c>
      <c r="C3" s="102" t="s">
        <v>4</v>
      </c>
      <c r="D3" s="102" t="s">
        <v>5</v>
      </c>
      <c r="E3" s="102" t="s">
        <v>6</v>
      </c>
      <c r="F3" s="102" t="s">
        <v>7</v>
      </c>
      <c r="G3" s="103" t="s">
        <v>8</v>
      </c>
    </row>
    <row r="4" ht="275" customHeight="1" spans="1:7">
      <c r="A4" s="102" t="s">
        <v>9</v>
      </c>
      <c r="B4" s="104"/>
      <c r="C4" s="102" t="s">
        <v>10</v>
      </c>
      <c r="D4" s="105" t="s">
        <v>11</v>
      </c>
      <c r="E4" s="106"/>
      <c r="F4" s="106"/>
      <c r="G4" s="107"/>
    </row>
    <row r="5" ht="51" customHeight="1" spans="1:7">
      <c r="A5" s="108">
        <v>1</v>
      </c>
      <c r="B5" s="109" t="s">
        <v>12</v>
      </c>
      <c r="C5" s="104" t="s">
        <v>13</v>
      </c>
      <c r="D5" s="110" t="s">
        <v>14</v>
      </c>
      <c r="E5" s="111" t="s">
        <v>15</v>
      </c>
      <c r="F5" s="104"/>
      <c r="G5" s="111">
        <v>16.3</v>
      </c>
    </row>
    <row r="6" ht="39" customHeight="1" spans="1:7">
      <c r="A6" s="112"/>
      <c r="B6" s="109" t="s">
        <v>16</v>
      </c>
      <c r="C6" s="104" t="s">
        <v>17</v>
      </c>
      <c r="D6" s="104"/>
      <c r="E6" s="111" t="s">
        <v>15</v>
      </c>
      <c r="F6" s="104"/>
      <c r="G6" s="111">
        <f>G5</f>
        <v>16.3</v>
      </c>
    </row>
    <row r="7" ht="47" customHeight="1" spans="1:7">
      <c r="A7" s="108">
        <v>2</v>
      </c>
      <c r="B7" s="109" t="s">
        <v>18</v>
      </c>
      <c r="C7" s="104" t="s">
        <v>19</v>
      </c>
      <c r="D7" s="110" t="s">
        <v>20</v>
      </c>
      <c r="E7" s="111" t="s">
        <v>21</v>
      </c>
      <c r="F7" s="104"/>
      <c r="G7" s="111">
        <v>26.3</v>
      </c>
    </row>
    <row r="8" ht="47" customHeight="1" spans="1:7">
      <c r="A8" s="113"/>
      <c r="B8" s="109" t="s">
        <v>22</v>
      </c>
      <c r="C8" s="104" t="s">
        <v>23</v>
      </c>
      <c r="D8" s="104"/>
      <c r="E8" s="111" t="s">
        <v>21</v>
      </c>
      <c r="F8" s="104"/>
      <c r="G8" s="111">
        <v>10</v>
      </c>
    </row>
    <row r="9" ht="47" customHeight="1" spans="1:7">
      <c r="A9" s="113"/>
      <c r="B9" s="109" t="s">
        <v>24</v>
      </c>
      <c r="C9" s="104" t="s">
        <v>25</v>
      </c>
      <c r="D9" s="104"/>
      <c r="E9" s="111" t="s">
        <v>21</v>
      </c>
      <c r="F9" s="104"/>
      <c r="G9" s="111">
        <v>62</v>
      </c>
    </row>
    <row r="10" ht="47" customHeight="1" spans="1:7">
      <c r="A10" s="113"/>
      <c r="B10" s="109" t="s">
        <v>26</v>
      </c>
      <c r="C10" s="104" t="s">
        <v>27</v>
      </c>
      <c r="D10" s="104"/>
      <c r="E10" s="111" t="s">
        <v>21</v>
      </c>
      <c r="F10" s="104"/>
      <c r="G10" s="111">
        <f>G7</f>
        <v>26.3</v>
      </c>
    </row>
    <row r="11" ht="47" customHeight="1" spans="1:7">
      <c r="A11" s="112"/>
      <c r="B11" s="109" t="s">
        <v>28</v>
      </c>
      <c r="C11" s="104" t="s">
        <v>29</v>
      </c>
      <c r="D11" s="104"/>
      <c r="E11" s="111" t="s">
        <v>21</v>
      </c>
      <c r="F11" s="104"/>
      <c r="G11" s="111">
        <f>G7</f>
        <v>26.3</v>
      </c>
    </row>
    <row r="12" ht="51" customHeight="1" spans="1:7">
      <c r="A12" s="111">
        <v>3</v>
      </c>
      <c r="B12" s="109" t="s">
        <v>30</v>
      </c>
      <c r="C12" s="110" t="s">
        <v>31</v>
      </c>
      <c r="D12" s="110" t="s">
        <v>32</v>
      </c>
      <c r="E12" s="111" t="s">
        <v>21</v>
      </c>
      <c r="F12" s="104" t="s">
        <v>33</v>
      </c>
      <c r="G12" s="111">
        <v>60</v>
      </c>
    </row>
    <row r="13" ht="62" customHeight="1" spans="1:7">
      <c r="A13" s="111">
        <v>4</v>
      </c>
      <c r="B13" s="109" t="s">
        <v>34</v>
      </c>
      <c r="C13" s="104" t="s">
        <v>35</v>
      </c>
      <c r="D13" s="110" t="s">
        <v>36</v>
      </c>
      <c r="E13" s="111" t="s">
        <v>21</v>
      </c>
      <c r="F13" s="104"/>
      <c r="G13" s="111">
        <v>180</v>
      </c>
    </row>
    <row r="14" ht="55" customHeight="1" spans="1:7">
      <c r="A14" s="111">
        <v>5</v>
      </c>
      <c r="B14" s="109" t="s">
        <v>37</v>
      </c>
      <c r="C14" s="104" t="s">
        <v>38</v>
      </c>
      <c r="D14" s="110" t="s">
        <v>39</v>
      </c>
      <c r="E14" s="111" t="s">
        <v>40</v>
      </c>
      <c r="F14" s="104" t="s">
        <v>41</v>
      </c>
      <c r="G14" s="111">
        <v>308</v>
      </c>
    </row>
    <row r="15" ht="55" customHeight="1" spans="1:7">
      <c r="A15" s="111">
        <v>6</v>
      </c>
      <c r="B15" s="109" t="s">
        <v>42</v>
      </c>
      <c r="C15" s="104" t="s">
        <v>43</v>
      </c>
      <c r="D15" s="110" t="s">
        <v>44</v>
      </c>
      <c r="E15" s="111" t="s">
        <v>21</v>
      </c>
      <c r="F15" s="104"/>
      <c r="G15" s="111">
        <v>380</v>
      </c>
    </row>
    <row r="16" ht="55" customHeight="1" spans="1:7">
      <c r="A16" s="111">
        <v>7</v>
      </c>
      <c r="B16" s="109" t="s">
        <v>45</v>
      </c>
      <c r="C16" s="104" t="s">
        <v>46</v>
      </c>
      <c r="D16" s="110" t="s">
        <v>47</v>
      </c>
      <c r="E16" s="111" t="s">
        <v>21</v>
      </c>
      <c r="F16" s="104"/>
      <c r="G16" s="111">
        <v>242</v>
      </c>
    </row>
    <row r="17" ht="55" customHeight="1" spans="1:7">
      <c r="A17" s="111">
        <v>8</v>
      </c>
      <c r="B17" s="109" t="s">
        <v>48</v>
      </c>
      <c r="C17" s="104" t="s">
        <v>49</v>
      </c>
      <c r="D17" s="110" t="s">
        <v>50</v>
      </c>
      <c r="E17" s="111" t="s">
        <v>21</v>
      </c>
      <c r="F17" s="104"/>
      <c r="G17" s="111">
        <v>242</v>
      </c>
    </row>
    <row r="18" ht="55" customHeight="1" spans="1:7">
      <c r="A18" s="111">
        <v>9</v>
      </c>
      <c r="B18" s="109" t="s">
        <v>51</v>
      </c>
      <c r="C18" s="104" t="s">
        <v>52</v>
      </c>
      <c r="D18" s="110" t="s">
        <v>53</v>
      </c>
      <c r="E18" s="111" t="s">
        <v>21</v>
      </c>
      <c r="F18" s="104"/>
      <c r="G18" s="111">
        <v>900</v>
      </c>
    </row>
    <row r="19" ht="55" customHeight="1" spans="1:7">
      <c r="A19" s="111">
        <v>10</v>
      </c>
      <c r="B19" s="109" t="s">
        <v>54</v>
      </c>
      <c r="C19" s="104" t="s">
        <v>55</v>
      </c>
      <c r="D19" s="110" t="s">
        <v>56</v>
      </c>
      <c r="E19" s="111" t="s">
        <v>21</v>
      </c>
      <c r="F19" s="110" t="s">
        <v>57</v>
      </c>
      <c r="G19" s="111">
        <v>145</v>
      </c>
    </row>
    <row r="20" ht="51" customHeight="1" spans="1:7">
      <c r="A20" s="111">
        <v>11</v>
      </c>
      <c r="B20" s="109" t="s">
        <v>58</v>
      </c>
      <c r="C20" s="104" t="s">
        <v>59</v>
      </c>
      <c r="D20" s="110" t="s">
        <v>60</v>
      </c>
      <c r="E20" s="111" t="s">
        <v>21</v>
      </c>
      <c r="F20" s="110" t="s">
        <v>57</v>
      </c>
      <c r="G20" s="114">
        <v>45</v>
      </c>
    </row>
    <row r="21" ht="51" customHeight="1" spans="1:7">
      <c r="A21" s="111">
        <v>12</v>
      </c>
      <c r="B21" s="109" t="s">
        <v>61</v>
      </c>
      <c r="C21" s="104" t="s">
        <v>62</v>
      </c>
      <c r="D21" s="110" t="s">
        <v>63</v>
      </c>
      <c r="E21" s="111" t="s">
        <v>40</v>
      </c>
      <c r="F21" s="104"/>
      <c r="G21" s="111">
        <v>168</v>
      </c>
    </row>
    <row r="22" ht="51" customHeight="1" spans="1:7">
      <c r="A22" s="111">
        <v>13</v>
      </c>
      <c r="B22" s="109" t="s">
        <v>64</v>
      </c>
      <c r="C22" s="104" t="s">
        <v>65</v>
      </c>
      <c r="D22" s="110" t="s">
        <v>66</v>
      </c>
      <c r="E22" s="111" t="s">
        <v>21</v>
      </c>
      <c r="F22" s="104"/>
      <c r="G22" s="111">
        <v>75</v>
      </c>
    </row>
    <row r="23" ht="51" customHeight="1" spans="1:7">
      <c r="A23" s="111">
        <v>14</v>
      </c>
      <c r="B23" s="109" t="s">
        <v>67</v>
      </c>
      <c r="C23" s="110" t="s">
        <v>68</v>
      </c>
      <c r="D23" s="110" t="s">
        <v>69</v>
      </c>
      <c r="E23" s="111" t="s">
        <v>21</v>
      </c>
      <c r="F23" s="110"/>
      <c r="G23" s="111">
        <v>149</v>
      </c>
    </row>
    <row r="24" ht="51" customHeight="1" spans="1:7">
      <c r="A24" s="111">
        <v>15</v>
      </c>
      <c r="B24" s="109" t="s">
        <v>70</v>
      </c>
      <c r="C24" s="110" t="s">
        <v>71</v>
      </c>
      <c r="D24" s="110" t="s">
        <v>72</v>
      </c>
      <c r="E24" s="111" t="s">
        <v>15</v>
      </c>
      <c r="F24" s="104"/>
      <c r="G24" s="111">
        <v>7</v>
      </c>
    </row>
    <row r="25" ht="51" customHeight="1" spans="1:7">
      <c r="A25" s="111">
        <v>16</v>
      </c>
      <c r="B25" s="109" t="s">
        <v>73</v>
      </c>
      <c r="C25" s="104" t="s">
        <v>74</v>
      </c>
      <c r="D25" s="110" t="s">
        <v>75</v>
      </c>
      <c r="E25" s="111" t="s">
        <v>15</v>
      </c>
      <c r="F25" s="111"/>
      <c r="G25" s="111">
        <v>12.1</v>
      </c>
    </row>
    <row r="26" ht="51" customHeight="1" spans="1:7">
      <c r="A26" s="111">
        <v>17</v>
      </c>
      <c r="B26" s="109" t="s">
        <v>76</v>
      </c>
      <c r="C26" s="104" t="s">
        <v>77</v>
      </c>
      <c r="D26" s="110" t="s">
        <v>78</v>
      </c>
      <c r="E26" s="111" t="s">
        <v>79</v>
      </c>
      <c r="F26" s="110" t="s">
        <v>80</v>
      </c>
      <c r="G26" s="111">
        <v>16</v>
      </c>
    </row>
    <row r="27" ht="51" customHeight="1" spans="1:7">
      <c r="A27" s="111">
        <v>18</v>
      </c>
      <c r="B27" s="109" t="s">
        <v>81</v>
      </c>
      <c r="C27" s="104" t="s">
        <v>82</v>
      </c>
      <c r="D27" s="110" t="s">
        <v>83</v>
      </c>
      <c r="E27" s="111" t="s">
        <v>21</v>
      </c>
      <c r="F27" s="104"/>
      <c r="G27" s="111">
        <v>41</v>
      </c>
    </row>
    <row r="28" ht="51" customHeight="1" spans="1:7">
      <c r="A28" s="108">
        <v>19</v>
      </c>
      <c r="B28" s="109" t="s">
        <v>84</v>
      </c>
      <c r="C28" s="115" t="s">
        <v>85</v>
      </c>
      <c r="D28" s="110" t="s">
        <v>86</v>
      </c>
      <c r="E28" s="111" t="s">
        <v>21</v>
      </c>
      <c r="F28" s="116" t="s">
        <v>87</v>
      </c>
      <c r="G28" s="111">
        <v>118</v>
      </c>
    </row>
    <row r="29" ht="51" customHeight="1" spans="1:7">
      <c r="A29" s="112"/>
      <c r="B29" s="109" t="s">
        <v>88</v>
      </c>
      <c r="C29" s="115" t="s">
        <v>89</v>
      </c>
      <c r="D29" s="117"/>
      <c r="E29" s="111" t="s">
        <v>21</v>
      </c>
      <c r="F29" s="118"/>
      <c r="G29" s="111">
        <v>118</v>
      </c>
    </row>
    <row r="30" ht="53" customHeight="1" spans="1:7">
      <c r="A30" s="119">
        <v>20</v>
      </c>
      <c r="B30" s="109" t="s">
        <v>90</v>
      </c>
      <c r="C30" s="120" t="s">
        <v>91</v>
      </c>
      <c r="D30" s="121" t="s">
        <v>92</v>
      </c>
      <c r="E30" s="122" t="s">
        <v>21</v>
      </c>
      <c r="F30" s="123" t="s">
        <v>93</v>
      </c>
      <c r="G30" s="122">
        <v>2600</v>
      </c>
    </row>
    <row r="31" ht="53" customHeight="1" spans="1:7">
      <c r="A31" s="124"/>
      <c r="B31" s="109" t="s">
        <v>94</v>
      </c>
      <c r="C31" s="120" t="s">
        <v>95</v>
      </c>
      <c r="D31" s="120"/>
      <c r="E31" s="122" t="s">
        <v>21</v>
      </c>
      <c r="F31" s="125"/>
      <c r="G31" s="122">
        <f>G30*0.2</f>
        <v>520</v>
      </c>
    </row>
    <row r="32" ht="53" customHeight="1" spans="1:7">
      <c r="A32" s="124"/>
      <c r="B32" s="109" t="s">
        <v>96</v>
      </c>
      <c r="C32" s="120" t="s">
        <v>97</v>
      </c>
      <c r="D32" s="120"/>
      <c r="E32" s="122" t="s">
        <v>21</v>
      </c>
      <c r="F32" s="125"/>
      <c r="G32" s="122">
        <v>780</v>
      </c>
    </row>
    <row r="33" ht="53" customHeight="1" spans="1:7">
      <c r="A33" s="126"/>
      <c r="B33" s="109" t="s">
        <v>98</v>
      </c>
      <c r="C33" s="121" t="s">
        <v>99</v>
      </c>
      <c r="D33" s="121"/>
      <c r="E33" s="122" t="s">
        <v>21</v>
      </c>
      <c r="F33" s="127"/>
      <c r="G33" s="122">
        <v>2110</v>
      </c>
    </row>
    <row r="34" ht="53" customHeight="1" spans="1:7">
      <c r="A34" s="122">
        <v>21</v>
      </c>
      <c r="B34" s="109" t="s">
        <v>100</v>
      </c>
      <c r="C34" s="121" t="s">
        <v>101</v>
      </c>
      <c r="D34" s="121" t="s">
        <v>102</v>
      </c>
      <c r="E34" s="122" t="s">
        <v>21</v>
      </c>
      <c r="F34" s="121" t="s">
        <v>103</v>
      </c>
      <c r="G34" s="50">
        <v>4350</v>
      </c>
    </row>
    <row r="35" ht="57" customHeight="1" spans="1:7">
      <c r="A35" s="122">
        <v>22</v>
      </c>
      <c r="B35" s="109" t="s">
        <v>104</v>
      </c>
      <c r="C35" s="121" t="s">
        <v>105</v>
      </c>
      <c r="D35" s="121" t="s">
        <v>106</v>
      </c>
      <c r="E35" s="122" t="s">
        <v>21</v>
      </c>
      <c r="F35" s="121" t="s">
        <v>107</v>
      </c>
      <c r="G35" s="50">
        <v>1000</v>
      </c>
    </row>
    <row r="36" ht="63" customHeight="1" spans="1:7">
      <c r="A36" s="122">
        <v>23</v>
      </c>
      <c r="B36" s="109" t="s">
        <v>108</v>
      </c>
      <c r="C36" s="121" t="s">
        <v>109</v>
      </c>
      <c r="D36" s="121" t="s">
        <v>110</v>
      </c>
      <c r="E36" s="122" t="s">
        <v>21</v>
      </c>
      <c r="F36" s="121" t="s">
        <v>111</v>
      </c>
      <c r="G36" s="122">
        <v>900</v>
      </c>
    </row>
    <row r="37" ht="50" customHeight="1" spans="1:7">
      <c r="A37" s="119">
        <v>24</v>
      </c>
      <c r="B37" s="109" t="s">
        <v>112</v>
      </c>
      <c r="C37" s="121" t="s">
        <v>113</v>
      </c>
      <c r="D37" s="121" t="s">
        <v>114</v>
      </c>
      <c r="E37" s="122" t="s">
        <v>115</v>
      </c>
      <c r="F37" s="123" t="s">
        <v>116</v>
      </c>
      <c r="G37" s="122">
        <v>4980</v>
      </c>
    </row>
    <row r="38" ht="50" customHeight="1" spans="1:7">
      <c r="A38" s="126"/>
      <c r="B38" s="109" t="s">
        <v>117</v>
      </c>
      <c r="C38" s="121" t="s">
        <v>118</v>
      </c>
      <c r="D38" s="121"/>
      <c r="E38" s="122" t="s">
        <v>115</v>
      </c>
      <c r="F38" s="127"/>
      <c r="G38" s="122">
        <f>G37*0.2</f>
        <v>996</v>
      </c>
    </row>
    <row r="39" ht="50" customHeight="1" spans="1:7">
      <c r="A39" s="119">
        <v>25</v>
      </c>
      <c r="B39" s="109" t="s">
        <v>119</v>
      </c>
      <c r="C39" s="121" t="s">
        <v>120</v>
      </c>
      <c r="D39" s="121" t="s">
        <v>121</v>
      </c>
      <c r="E39" s="122" t="s">
        <v>115</v>
      </c>
      <c r="F39" s="123" t="s">
        <v>122</v>
      </c>
      <c r="G39" s="122">
        <v>4076</v>
      </c>
    </row>
    <row r="40" ht="50" customHeight="1" spans="1:7">
      <c r="A40" s="126"/>
      <c r="B40" s="109" t="s">
        <v>123</v>
      </c>
      <c r="C40" s="121" t="s">
        <v>124</v>
      </c>
      <c r="D40" s="121"/>
      <c r="E40" s="122" t="s">
        <v>115</v>
      </c>
      <c r="F40" s="127"/>
      <c r="G40" s="122">
        <v>815</v>
      </c>
    </row>
    <row r="41" ht="50" customHeight="1" spans="1:7">
      <c r="A41" s="119">
        <v>26</v>
      </c>
      <c r="B41" s="109" t="s">
        <v>125</v>
      </c>
      <c r="C41" s="121" t="s">
        <v>126</v>
      </c>
      <c r="D41" s="121" t="s">
        <v>127</v>
      </c>
      <c r="E41" s="122" t="s">
        <v>115</v>
      </c>
      <c r="F41" s="123" t="s">
        <v>128</v>
      </c>
      <c r="G41" s="122">
        <v>3000</v>
      </c>
    </row>
    <row r="42" ht="50" customHeight="1" spans="1:7">
      <c r="A42" s="126"/>
      <c r="B42" s="109" t="s">
        <v>129</v>
      </c>
      <c r="C42" s="121" t="s">
        <v>130</v>
      </c>
      <c r="D42" s="121"/>
      <c r="E42" s="122" t="s">
        <v>115</v>
      </c>
      <c r="F42" s="127"/>
      <c r="G42" s="122">
        <f t="shared" ref="G42:G46" si="0">G41*0.2</f>
        <v>600</v>
      </c>
    </row>
    <row r="43" ht="59" customHeight="1" spans="1:7">
      <c r="A43" s="119">
        <v>27</v>
      </c>
      <c r="B43" s="109" t="s">
        <v>131</v>
      </c>
      <c r="C43" s="121" t="s">
        <v>132</v>
      </c>
      <c r="D43" s="121" t="s">
        <v>133</v>
      </c>
      <c r="E43" s="122" t="s">
        <v>115</v>
      </c>
      <c r="F43" s="123" t="s">
        <v>128</v>
      </c>
      <c r="G43" s="122">
        <v>5580</v>
      </c>
    </row>
    <row r="44" ht="44" customHeight="1" spans="1:7">
      <c r="A44" s="126"/>
      <c r="B44" s="109" t="s">
        <v>134</v>
      </c>
      <c r="C44" s="121" t="s">
        <v>135</v>
      </c>
      <c r="D44" s="121"/>
      <c r="E44" s="122" t="s">
        <v>115</v>
      </c>
      <c r="F44" s="127"/>
      <c r="G44" s="122">
        <f t="shared" si="0"/>
        <v>1116</v>
      </c>
    </row>
    <row r="45" ht="52" customHeight="1" spans="1:7">
      <c r="A45" s="119">
        <v>28</v>
      </c>
      <c r="B45" s="109" t="s">
        <v>136</v>
      </c>
      <c r="C45" s="121" t="s">
        <v>137</v>
      </c>
      <c r="D45" s="121" t="s">
        <v>138</v>
      </c>
      <c r="E45" s="122" t="s">
        <v>21</v>
      </c>
      <c r="F45" s="123" t="s">
        <v>139</v>
      </c>
      <c r="G45" s="122">
        <v>2680</v>
      </c>
    </row>
    <row r="46" ht="44" customHeight="1" spans="1:7">
      <c r="A46" s="126"/>
      <c r="B46" s="109" t="s">
        <v>140</v>
      </c>
      <c r="C46" s="121" t="s">
        <v>141</v>
      </c>
      <c r="D46" s="120"/>
      <c r="E46" s="122" t="s">
        <v>21</v>
      </c>
      <c r="F46" s="127"/>
      <c r="G46" s="122">
        <f t="shared" si="0"/>
        <v>536</v>
      </c>
    </row>
    <row r="47" ht="51" customHeight="1" spans="1:7">
      <c r="A47" s="122">
        <v>29</v>
      </c>
      <c r="B47" s="109" t="s">
        <v>142</v>
      </c>
      <c r="C47" s="120" t="s">
        <v>143</v>
      </c>
      <c r="D47" s="121" t="s">
        <v>144</v>
      </c>
      <c r="E47" s="122" t="s">
        <v>21</v>
      </c>
      <c r="F47" s="121"/>
      <c r="G47" s="122">
        <v>3000</v>
      </c>
    </row>
    <row r="48" ht="51" customHeight="1" spans="1:7">
      <c r="A48" s="122">
        <v>30</v>
      </c>
      <c r="B48" s="109" t="s">
        <v>145</v>
      </c>
      <c r="C48" s="120" t="s">
        <v>146</v>
      </c>
      <c r="D48" s="121" t="s">
        <v>147</v>
      </c>
      <c r="E48" s="122" t="s">
        <v>21</v>
      </c>
      <c r="F48" s="121"/>
      <c r="G48" s="122">
        <v>566</v>
      </c>
    </row>
    <row r="49" ht="51" customHeight="1" spans="1:7">
      <c r="A49" s="122">
        <v>31</v>
      </c>
      <c r="B49" s="109" t="s">
        <v>148</v>
      </c>
      <c r="C49" s="120" t="s">
        <v>149</v>
      </c>
      <c r="D49" s="121" t="s">
        <v>150</v>
      </c>
      <c r="E49" s="122" t="s">
        <v>15</v>
      </c>
      <c r="F49" s="121"/>
      <c r="G49" s="122">
        <v>40</v>
      </c>
    </row>
    <row r="50" ht="51" customHeight="1" spans="1:7">
      <c r="A50" s="122">
        <v>32</v>
      </c>
      <c r="B50" s="109" t="s">
        <v>151</v>
      </c>
      <c r="C50" s="121" t="s">
        <v>152</v>
      </c>
      <c r="D50" s="121" t="s">
        <v>153</v>
      </c>
      <c r="E50" s="122" t="s">
        <v>21</v>
      </c>
      <c r="F50" s="120"/>
      <c r="G50" s="122">
        <v>2328</v>
      </c>
    </row>
    <row r="51" ht="42" customHeight="1" spans="1:7">
      <c r="A51" s="122"/>
      <c r="B51" s="109" t="s">
        <v>154</v>
      </c>
      <c r="C51" s="121" t="s">
        <v>155</v>
      </c>
      <c r="D51" s="121"/>
      <c r="E51" s="122" t="s">
        <v>21</v>
      </c>
      <c r="F51" s="120"/>
      <c r="G51" s="122">
        <v>465</v>
      </c>
    </row>
    <row r="52" ht="51" customHeight="1" spans="1:7">
      <c r="A52" s="119">
        <v>33</v>
      </c>
      <c r="B52" s="109" t="s">
        <v>156</v>
      </c>
      <c r="C52" s="120" t="s">
        <v>157</v>
      </c>
      <c r="D52" s="121" t="s">
        <v>158</v>
      </c>
      <c r="E52" s="122" t="s">
        <v>21</v>
      </c>
      <c r="F52" s="121"/>
      <c r="G52" s="122">
        <v>2328</v>
      </c>
    </row>
    <row r="53" ht="47" customHeight="1" spans="1:7">
      <c r="A53" s="126"/>
      <c r="B53" s="109" t="s">
        <v>159</v>
      </c>
      <c r="C53" s="120" t="s">
        <v>160</v>
      </c>
      <c r="D53" s="120"/>
      <c r="E53" s="122" t="s">
        <v>21</v>
      </c>
      <c r="F53" s="121"/>
      <c r="G53" s="122">
        <v>465</v>
      </c>
    </row>
    <row r="54" ht="51" customHeight="1" spans="1:7">
      <c r="A54" s="119">
        <v>34</v>
      </c>
      <c r="B54" s="109" t="s">
        <v>161</v>
      </c>
      <c r="C54" s="121" t="s">
        <v>162</v>
      </c>
      <c r="D54" s="121" t="s">
        <v>163</v>
      </c>
      <c r="E54" s="122" t="s">
        <v>21</v>
      </c>
      <c r="F54" s="128"/>
      <c r="G54" s="122">
        <v>4540</v>
      </c>
    </row>
    <row r="55" ht="51" customHeight="1" spans="1:7">
      <c r="A55" s="124"/>
      <c r="B55" s="109" t="s">
        <v>164</v>
      </c>
      <c r="C55" s="121" t="s">
        <v>165</v>
      </c>
      <c r="D55" s="121"/>
      <c r="E55" s="122" t="s">
        <v>21</v>
      </c>
      <c r="F55" s="128"/>
      <c r="G55" s="122">
        <f>G54*0.2</f>
        <v>908</v>
      </c>
    </row>
    <row r="56" ht="42" customHeight="1" spans="1:7">
      <c r="A56" s="124"/>
      <c r="B56" s="109" t="s">
        <v>166</v>
      </c>
      <c r="C56" s="121" t="s">
        <v>167</v>
      </c>
      <c r="D56" s="121"/>
      <c r="E56" s="122" t="s">
        <v>21</v>
      </c>
      <c r="F56" s="128"/>
      <c r="G56" s="122">
        <f>G54*0.3</f>
        <v>1362</v>
      </c>
    </row>
    <row r="57" ht="51" customHeight="1" spans="1:7">
      <c r="A57" s="126"/>
      <c r="B57" s="109" t="s">
        <v>168</v>
      </c>
      <c r="C57" s="121" t="s">
        <v>169</v>
      </c>
      <c r="D57" s="121"/>
      <c r="E57" s="122" t="s">
        <v>21</v>
      </c>
      <c r="F57" s="128"/>
      <c r="G57" s="122">
        <v>4540</v>
      </c>
    </row>
    <row r="58" ht="57" customHeight="1" spans="1:7">
      <c r="A58" s="119">
        <v>35</v>
      </c>
      <c r="B58" s="109" t="s">
        <v>170</v>
      </c>
      <c r="C58" s="120" t="s">
        <v>171</v>
      </c>
      <c r="D58" s="121" t="s">
        <v>172</v>
      </c>
      <c r="E58" s="122" t="s">
        <v>21</v>
      </c>
      <c r="F58" s="128"/>
      <c r="G58" s="122">
        <v>4540</v>
      </c>
    </row>
    <row r="59" ht="45" customHeight="1" spans="1:7">
      <c r="A59" s="124"/>
      <c r="B59" s="109" t="s">
        <v>173</v>
      </c>
      <c r="C59" s="120" t="s">
        <v>174</v>
      </c>
      <c r="D59" s="120"/>
      <c r="E59" s="122" t="s">
        <v>21</v>
      </c>
      <c r="F59" s="128"/>
      <c r="G59" s="122">
        <f>G58*0.2</f>
        <v>908</v>
      </c>
    </row>
    <row r="60" ht="45" customHeight="1" spans="1:7">
      <c r="A60" s="124"/>
      <c r="B60" s="109" t="s">
        <v>175</v>
      </c>
      <c r="C60" s="120" t="s">
        <v>176</v>
      </c>
      <c r="D60" s="120"/>
      <c r="E60" s="122" t="s">
        <v>21</v>
      </c>
      <c r="F60" s="128"/>
      <c r="G60" s="122">
        <v>1362</v>
      </c>
    </row>
    <row r="61" ht="45" customHeight="1" spans="1:7">
      <c r="A61" s="124"/>
      <c r="B61" s="109" t="s">
        <v>177</v>
      </c>
      <c r="C61" s="120" t="s">
        <v>178</v>
      </c>
      <c r="D61" s="120"/>
      <c r="E61" s="122" t="s">
        <v>21</v>
      </c>
      <c r="F61" s="128"/>
      <c r="G61" s="122">
        <v>4540</v>
      </c>
    </row>
    <row r="62" ht="45" customHeight="1" spans="1:7">
      <c r="A62" s="126"/>
      <c r="B62" s="109" t="s">
        <v>179</v>
      </c>
      <c r="C62" s="120" t="s">
        <v>180</v>
      </c>
      <c r="D62" s="120"/>
      <c r="E62" s="122" t="s">
        <v>21</v>
      </c>
      <c r="F62" s="128"/>
      <c r="G62" s="122">
        <v>4540</v>
      </c>
    </row>
    <row r="63" ht="57" customHeight="1" spans="1:7">
      <c r="A63" s="119">
        <v>36</v>
      </c>
      <c r="B63" s="109" t="s">
        <v>181</v>
      </c>
      <c r="C63" s="120" t="s">
        <v>182</v>
      </c>
      <c r="D63" s="121" t="s">
        <v>183</v>
      </c>
      <c r="E63" s="122" t="s">
        <v>21</v>
      </c>
      <c r="F63" s="128"/>
      <c r="G63" s="122">
        <v>9800</v>
      </c>
    </row>
    <row r="64" ht="44" customHeight="1" spans="1:7">
      <c r="A64" s="124"/>
      <c r="B64" s="109" t="s">
        <v>184</v>
      </c>
      <c r="C64" s="120" t="s">
        <v>185</v>
      </c>
      <c r="D64" s="120"/>
      <c r="E64" s="122" t="s">
        <v>21</v>
      </c>
      <c r="F64" s="128"/>
      <c r="G64" s="122">
        <f>G63*0.2</f>
        <v>1960</v>
      </c>
    </row>
    <row r="65" ht="44" customHeight="1" spans="1:7">
      <c r="A65" s="124"/>
      <c r="B65" s="109" t="s">
        <v>186</v>
      </c>
      <c r="C65" s="120" t="s">
        <v>187</v>
      </c>
      <c r="D65" s="120"/>
      <c r="E65" s="122" t="s">
        <v>21</v>
      </c>
      <c r="F65" s="128"/>
      <c r="G65" s="122">
        <f>G63*0.3</f>
        <v>2940</v>
      </c>
    </row>
    <row r="66" ht="44" customHeight="1" spans="1:7">
      <c r="A66" s="126"/>
      <c r="B66" s="109" t="s">
        <v>188</v>
      </c>
      <c r="C66" s="120" t="s">
        <v>189</v>
      </c>
      <c r="D66" s="120"/>
      <c r="E66" s="122" t="s">
        <v>21</v>
      </c>
      <c r="F66" s="128"/>
      <c r="G66" s="122">
        <f>G63</f>
        <v>9800</v>
      </c>
    </row>
    <row r="67" ht="58" customHeight="1" spans="1:7">
      <c r="A67" s="119">
        <v>37</v>
      </c>
      <c r="B67" s="109" t="s">
        <v>190</v>
      </c>
      <c r="C67" s="120" t="s">
        <v>191</v>
      </c>
      <c r="D67" s="121" t="s">
        <v>183</v>
      </c>
      <c r="E67" s="122" t="s">
        <v>21</v>
      </c>
      <c r="F67" s="128"/>
      <c r="G67" s="122">
        <v>9800</v>
      </c>
    </row>
    <row r="68" ht="51" customHeight="1" spans="1:7">
      <c r="A68" s="124"/>
      <c r="B68" s="109" t="s">
        <v>192</v>
      </c>
      <c r="C68" s="120" t="s">
        <v>193</v>
      </c>
      <c r="D68" s="121"/>
      <c r="E68" s="122" t="s">
        <v>21</v>
      </c>
      <c r="F68" s="128"/>
      <c r="G68" s="122">
        <f>G67*0.2</f>
        <v>1960</v>
      </c>
    </row>
    <row r="69" ht="51" customHeight="1" spans="1:7">
      <c r="A69" s="124"/>
      <c r="B69" s="109" t="s">
        <v>194</v>
      </c>
      <c r="C69" s="120" t="s">
        <v>195</v>
      </c>
      <c r="D69" s="120"/>
      <c r="E69" s="122" t="s">
        <v>21</v>
      </c>
      <c r="F69" s="128"/>
      <c r="G69" s="122">
        <f>G67*0.3</f>
        <v>2940</v>
      </c>
    </row>
    <row r="70" ht="51" customHeight="1" spans="1:7">
      <c r="A70" s="126"/>
      <c r="B70" s="109" t="s">
        <v>196</v>
      </c>
      <c r="C70" s="120" t="s">
        <v>197</v>
      </c>
      <c r="D70" s="120"/>
      <c r="E70" s="122" t="s">
        <v>21</v>
      </c>
      <c r="F70" s="128"/>
      <c r="G70" s="122">
        <f>G67</f>
        <v>9800</v>
      </c>
    </row>
    <row r="71" ht="58" customHeight="1" spans="1:7">
      <c r="A71" s="119">
        <v>38</v>
      </c>
      <c r="B71" s="109" t="s">
        <v>198</v>
      </c>
      <c r="C71" s="121" t="s">
        <v>199</v>
      </c>
      <c r="D71" s="121" t="s">
        <v>200</v>
      </c>
      <c r="E71" s="122" t="s">
        <v>21</v>
      </c>
      <c r="F71" s="123" t="s">
        <v>201</v>
      </c>
      <c r="G71" s="122">
        <v>4100</v>
      </c>
    </row>
    <row r="72" ht="58" customHeight="1" spans="1:7">
      <c r="A72" s="126"/>
      <c r="B72" s="109" t="s">
        <v>202</v>
      </c>
      <c r="C72" s="121" t="s">
        <v>203</v>
      </c>
      <c r="D72" s="121"/>
      <c r="E72" s="122" t="s">
        <v>21</v>
      </c>
      <c r="F72" s="127"/>
      <c r="G72" s="122">
        <f t="shared" ref="G72:G76" si="1">G71*0.2</f>
        <v>820</v>
      </c>
    </row>
    <row r="73" ht="58" customHeight="1" spans="1:7">
      <c r="A73" s="119">
        <v>39</v>
      </c>
      <c r="B73" s="109" t="s">
        <v>204</v>
      </c>
      <c r="C73" s="121" t="s">
        <v>205</v>
      </c>
      <c r="D73" s="121" t="s">
        <v>206</v>
      </c>
      <c r="E73" s="122" t="s">
        <v>21</v>
      </c>
      <c r="F73" s="123" t="s">
        <v>207</v>
      </c>
      <c r="G73" s="122">
        <v>4500</v>
      </c>
    </row>
    <row r="74" ht="58" customHeight="1" spans="1:7">
      <c r="A74" s="126"/>
      <c r="B74" s="109" t="s">
        <v>208</v>
      </c>
      <c r="C74" s="121" t="s">
        <v>209</v>
      </c>
      <c r="D74" s="121"/>
      <c r="E74" s="122" t="s">
        <v>21</v>
      </c>
      <c r="F74" s="127"/>
      <c r="G74" s="122">
        <f t="shared" si="1"/>
        <v>900</v>
      </c>
    </row>
    <row r="75" ht="58" customHeight="1" spans="1:7">
      <c r="A75" s="119">
        <v>40</v>
      </c>
      <c r="B75" s="109" t="s">
        <v>210</v>
      </c>
      <c r="C75" s="121" t="s">
        <v>211</v>
      </c>
      <c r="D75" s="121" t="s">
        <v>212</v>
      </c>
      <c r="E75" s="122" t="s">
        <v>21</v>
      </c>
      <c r="F75" s="121"/>
      <c r="G75" s="122">
        <v>3500</v>
      </c>
    </row>
    <row r="76" ht="58" customHeight="1" spans="1:7">
      <c r="A76" s="126"/>
      <c r="B76" s="109" t="s">
        <v>213</v>
      </c>
      <c r="C76" s="121" t="s">
        <v>214</v>
      </c>
      <c r="D76" s="121"/>
      <c r="E76" s="122" t="s">
        <v>21</v>
      </c>
      <c r="F76" s="121"/>
      <c r="G76" s="122">
        <f t="shared" si="1"/>
        <v>700</v>
      </c>
    </row>
    <row r="77" ht="58" customHeight="1" spans="1:7">
      <c r="A77" s="119">
        <v>41</v>
      </c>
      <c r="B77" s="109" t="s">
        <v>215</v>
      </c>
      <c r="C77" s="121" t="s">
        <v>216</v>
      </c>
      <c r="D77" s="121" t="s">
        <v>217</v>
      </c>
      <c r="E77" s="122" t="s">
        <v>21</v>
      </c>
      <c r="F77" s="121" t="s">
        <v>218</v>
      </c>
      <c r="G77" s="122">
        <v>5630</v>
      </c>
    </row>
    <row r="78" ht="48" customHeight="1" spans="1:7">
      <c r="A78" s="126"/>
      <c r="B78" s="109" t="s">
        <v>219</v>
      </c>
      <c r="C78" s="121" t="s">
        <v>220</v>
      </c>
      <c r="D78" s="121"/>
      <c r="E78" s="122" t="s">
        <v>21</v>
      </c>
      <c r="F78" s="121"/>
      <c r="G78" s="122">
        <f>G77*0.2</f>
        <v>1126</v>
      </c>
    </row>
    <row r="79" ht="87" customHeight="1" spans="1:7">
      <c r="A79" s="119">
        <v>42</v>
      </c>
      <c r="B79" s="109" t="s">
        <v>221</v>
      </c>
      <c r="C79" s="121" t="s">
        <v>222</v>
      </c>
      <c r="D79" s="121" t="s">
        <v>223</v>
      </c>
      <c r="E79" s="122" t="s">
        <v>21</v>
      </c>
      <c r="F79" s="123" t="s">
        <v>224</v>
      </c>
      <c r="G79" s="129">
        <v>5772</v>
      </c>
    </row>
    <row r="80" ht="46" customHeight="1" spans="1:7">
      <c r="A80" s="126"/>
      <c r="B80" s="109" t="s">
        <v>225</v>
      </c>
      <c r="C80" s="121" t="s">
        <v>226</v>
      </c>
      <c r="D80" s="121"/>
      <c r="E80" s="122" t="s">
        <v>21</v>
      </c>
      <c r="F80" s="127"/>
      <c r="G80" s="129">
        <v>1154</v>
      </c>
    </row>
    <row r="81" ht="65" customHeight="1" spans="1:7">
      <c r="A81" s="119">
        <v>43</v>
      </c>
      <c r="B81" s="109" t="s">
        <v>227</v>
      </c>
      <c r="C81" s="121" t="s">
        <v>228</v>
      </c>
      <c r="D81" s="121" t="s">
        <v>229</v>
      </c>
      <c r="E81" s="122" t="s">
        <v>21</v>
      </c>
      <c r="F81" s="123" t="s">
        <v>230</v>
      </c>
      <c r="G81" s="122">
        <v>7500</v>
      </c>
    </row>
    <row r="82" ht="43" customHeight="1" spans="1:7">
      <c r="A82" s="126"/>
      <c r="B82" s="109" t="s">
        <v>231</v>
      </c>
      <c r="C82" s="121" t="s">
        <v>232</v>
      </c>
      <c r="D82" s="121"/>
      <c r="E82" s="122" t="s">
        <v>21</v>
      </c>
      <c r="F82" s="127"/>
      <c r="G82" s="122">
        <f t="shared" ref="G82:G86" si="2">G81*0.2</f>
        <v>1500</v>
      </c>
    </row>
    <row r="83" ht="55" customHeight="1" spans="1:7">
      <c r="A83" s="119">
        <v>44</v>
      </c>
      <c r="B83" s="109" t="s">
        <v>233</v>
      </c>
      <c r="C83" s="121" t="s">
        <v>234</v>
      </c>
      <c r="D83" s="121" t="s">
        <v>235</v>
      </c>
      <c r="E83" s="122" t="s">
        <v>21</v>
      </c>
      <c r="F83" s="121"/>
      <c r="G83" s="122">
        <v>3500</v>
      </c>
    </row>
    <row r="84" ht="47" customHeight="1" spans="1:7">
      <c r="A84" s="126"/>
      <c r="B84" s="109" t="s">
        <v>236</v>
      </c>
      <c r="C84" s="121" t="s">
        <v>237</v>
      </c>
      <c r="D84" s="121"/>
      <c r="E84" s="122" t="s">
        <v>21</v>
      </c>
      <c r="F84" s="121"/>
      <c r="G84" s="122">
        <f t="shared" si="2"/>
        <v>700</v>
      </c>
    </row>
    <row r="85" ht="55" customHeight="1" spans="1:7">
      <c r="A85" s="119">
        <v>45</v>
      </c>
      <c r="B85" s="109" t="s">
        <v>238</v>
      </c>
      <c r="C85" s="121" t="s">
        <v>239</v>
      </c>
      <c r="D85" s="121" t="s">
        <v>240</v>
      </c>
      <c r="E85" s="122" t="s">
        <v>21</v>
      </c>
      <c r="F85" s="121"/>
      <c r="G85" s="122">
        <v>3500</v>
      </c>
    </row>
    <row r="86" ht="55" customHeight="1" spans="1:7">
      <c r="A86" s="126"/>
      <c r="B86" s="109" t="s">
        <v>241</v>
      </c>
      <c r="C86" s="121" t="s">
        <v>242</v>
      </c>
      <c r="D86" s="121"/>
      <c r="E86" s="111" t="s">
        <v>21</v>
      </c>
      <c r="F86" s="121"/>
      <c r="G86" s="122">
        <f t="shared" si="2"/>
        <v>700</v>
      </c>
    </row>
    <row r="87" ht="62" customHeight="1" spans="1:7">
      <c r="A87" s="119">
        <v>46</v>
      </c>
      <c r="B87" s="109" t="s">
        <v>243</v>
      </c>
      <c r="C87" s="120" t="s">
        <v>244</v>
      </c>
      <c r="D87" s="121" t="s">
        <v>245</v>
      </c>
      <c r="E87" s="122" t="s">
        <v>21</v>
      </c>
      <c r="F87" s="120"/>
      <c r="G87" s="122">
        <v>1690</v>
      </c>
    </row>
    <row r="88" ht="57" customHeight="1" spans="1:7">
      <c r="A88" s="126"/>
      <c r="B88" s="109" t="s">
        <v>246</v>
      </c>
      <c r="C88" s="120" t="s">
        <v>247</v>
      </c>
      <c r="D88" s="120"/>
      <c r="E88" s="122" t="s">
        <v>21</v>
      </c>
      <c r="F88" s="120"/>
      <c r="G88" s="122">
        <f>G87*0.2</f>
        <v>338</v>
      </c>
    </row>
    <row r="89" ht="56" customHeight="1" spans="1:7">
      <c r="A89" s="119">
        <v>47</v>
      </c>
      <c r="B89" s="109" t="s">
        <v>248</v>
      </c>
      <c r="C89" s="120" t="s">
        <v>249</v>
      </c>
      <c r="D89" s="121" t="s">
        <v>250</v>
      </c>
      <c r="E89" s="122" t="s">
        <v>21</v>
      </c>
      <c r="F89" s="120"/>
      <c r="G89" s="122">
        <v>575</v>
      </c>
    </row>
    <row r="90" ht="56" customHeight="1" spans="1:7">
      <c r="A90" s="126"/>
      <c r="B90" s="109" t="s">
        <v>251</v>
      </c>
      <c r="C90" s="120" t="s">
        <v>252</v>
      </c>
      <c r="D90" s="120"/>
      <c r="E90" s="122" t="s">
        <v>21</v>
      </c>
      <c r="F90" s="120"/>
      <c r="G90" s="122">
        <f>G89*0.2</f>
        <v>115</v>
      </c>
    </row>
    <row r="91" ht="56" customHeight="1" spans="1:7">
      <c r="A91" s="122">
        <v>48</v>
      </c>
      <c r="B91" s="109" t="s">
        <v>253</v>
      </c>
      <c r="C91" s="120" t="s">
        <v>254</v>
      </c>
      <c r="D91" s="121" t="s">
        <v>255</v>
      </c>
      <c r="E91" s="122" t="s">
        <v>21</v>
      </c>
      <c r="F91" s="120"/>
      <c r="G91" s="122">
        <v>287</v>
      </c>
    </row>
    <row r="92" ht="54" customHeight="1" spans="1:7">
      <c r="A92" s="122"/>
      <c r="B92" s="109" t="s">
        <v>256</v>
      </c>
      <c r="C92" s="120" t="s">
        <v>257</v>
      </c>
      <c r="D92" s="120"/>
      <c r="E92" s="122" t="s">
        <v>21</v>
      </c>
      <c r="F92" s="120"/>
      <c r="G92" s="122">
        <v>57</v>
      </c>
    </row>
    <row r="93" ht="66" customHeight="1" spans="1:7">
      <c r="A93" s="119">
        <v>49</v>
      </c>
      <c r="B93" s="109" t="s">
        <v>258</v>
      </c>
      <c r="C93" s="130" t="s">
        <v>259</v>
      </c>
      <c r="D93" s="121" t="s">
        <v>260</v>
      </c>
      <c r="E93" s="122" t="s">
        <v>21</v>
      </c>
      <c r="F93" s="120"/>
      <c r="G93" s="122">
        <v>3220</v>
      </c>
    </row>
    <row r="94" ht="56" customHeight="1" spans="1:7">
      <c r="A94" s="124"/>
      <c r="B94" s="109" t="s">
        <v>261</v>
      </c>
      <c r="C94" s="130" t="s">
        <v>262</v>
      </c>
      <c r="D94" s="130"/>
      <c r="E94" s="122" t="s">
        <v>21</v>
      </c>
      <c r="F94" s="120"/>
      <c r="G94" s="122">
        <f>G93*0.2</f>
        <v>644</v>
      </c>
    </row>
    <row r="95" ht="56" customHeight="1" spans="1:7">
      <c r="A95" s="124"/>
      <c r="B95" s="109" t="s">
        <v>263</v>
      </c>
      <c r="C95" s="130" t="s">
        <v>264</v>
      </c>
      <c r="D95" s="130"/>
      <c r="E95" s="122" t="s">
        <v>21</v>
      </c>
      <c r="F95" s="120"/>
      <c r="G95" s="122">
        <v>1100</v>
      </c>
    </row>
    <row r="96" ht="56" customHeight="1" spans="1:7">
      <c r="A96" s="124"/>
      <c r="B96" s="109" t="s">
        <v>265</v>
      </c>
      <c r="C96" s="130" t="s">
        <v>266</v>
      </c>
      <c r="D96" s="130"/>
      <c r="E96" s="122" t="s">
        <v>21</v>
      </c>
      <c r="F96" s="120"/>
      <c r="G96" s="122">
        <f>G93</f>
        <v>3220</v>
      </c>
    </row>
    <row r="97" ht="56" customHeight="1" spans="1:7">
      <c r="A97" s="126"/>
      <c r="B97" s="109" t="s">
        <v>267</v>
      </c>
      <c r="C97" s="130" t="s">
        <v>268</v>
      </c>
      <c r="D97" s="130"/>
      <c r="E97" s="122" t="s">
        <v>21</v>
      </c>
      <c r="F97" s="120"/>
      <c r="G97" s="122">
        <f>G93</f>
        <v>3220</v>
      </c>
    </row>
    <row r="98" ht="54" customHeight="1" spans="1:7">
      <c r="A98" s="122">
        <v>50</v>
      </c>
      <c r="B98" s="109" t="s">
        <v>269</v>
      </c>
      <c r="C98" s="130" t="s">
        <v>270</v>
      </c>
      <c r="D98" s="121" t="s">
        <v>271</v>
      </c>
      <c r="E98" s="122" t="s">
        <v>21</v>
      </c>
      <c r="F98" s="120"/>
      <c r="G98" s="122">
        <v>2800</v>
      </c>
    </row>
    <row r="99" ht="54" customHeight="1" spans="1:7">
      <c r="A99" s="122"/>
      <c r="B99" s="109" t="s">
        <v>272</v>
      </c>
      <c r="C99" s="130" t="s">
        <v>273</v>
      </c>
      <c r="D99" s="130"/>
      <c r="E99" s="122" t="s">
        <v>21</v>
      </c>
      <c r="F99" s="120"/>
      <c r="G99" s="122">
        <f>G98*0.2</f>
        <v>560</v>
      </c>
    </row>
    <row r="100" ht="54" customHeight="1" spans="1:7">
      <c r="A100" s="122"/>
      <c r="B100" s="109" t="s">
        <v>274</v>
      </c>
      <c r="C100" s="130" t="s">
        <v>275</v>
      </c>
      <c r="D100" s="130"/>
      <c r="E100" s="122" t="s">
        <v>21</v>
      </c>
      <c r="F100" s="120"/>
      <c r="G100" s="122">
        <f>G98*0.3</f>
        <v>840</v>
      </c>
    </row>
    <row r="101" ht="54" customHeight="1" spans="1:7">
      <c r="A101" s="122"/>
      <c r="B101" s="109" t="s">
        <v>276</v>
      </c>
      <c r="C101" s="130" t="s">
        <v>277</v>
      </c>
      <c r="D101" s="130"/>
      <c r="E101" s="122" t="s">
        <v>21</v>
      </c>
      <c r="F101" s="120"/>
      <c r="G101" s="122">
        <f>G98*0.5</f>
        <v>1400</v>
      </c>
    </row>
    <row r="102" ht="54" customHeight="1" spans="1:7">
      <c r="A102" s="122">
        <v>50</v>
      </c>
      <c r="B102" s="109" t="s">
        <v>278</v>
      </c>
      <c r="C102" s="130" t="s">
        <v>279</v>
      </c>
      <c r="D102" s="130"/>
      <c r="E102" s="122" t="s">
        <v>21</v>
      </c>
      <c r="F102" s="120"/>
      <c r="G102" s="122">
        <f>G98</f>
        <v>2800</v>
      </c>
    </row>
    <row r="103" ht="54" customHeight="1" spans="1:7">
      <c r="A103" s="122"/>
      <c r="B103" s="109" t="s">
        <v>280</v>
      </c>
      <c r="C103" s="130" t="s">
        <v>281</v>
      </c>
      <c r="D103" s="130"/>
      <c r="E103" s="122" t="s">
        <v>21</v>
      </c>
      <c r="F103" s="120"/>
      <c r="G103" s="122">
        <f>G98</f>
        <v>2800</v>
      </c>
    </row>
    <row r="104" ht="54" customHeight="1" spans="1:7">
      <c r="A104" s="119">
        <v>51</v>
      </c>
      <c r="B104" s="109" t="s">
        <v>282</v>
      </c>
      <c r="C104" s="130" t="s">
        <v>283</v>
      </c>
      <c r="D104" s="121" t="s">
        <v>284</v>
      </c>
      <c r="E104" s="122" t="s">
        <v>21</v>
      </c>
      <c r="F104" s="123" t="s">
        <v>285</v>
      </c>
      <c r="G104" s="122">
        <v>2500</v>
      </c>
    </row>
    <row r="105" ht="54" customHeight="1" spans="1:7">
      <c r="A105" s="124"/>
      <c r="B105" s="109" t="s">
        <v>286</v>
      </c>
      <c r="C105" s="130" t="s">
        <v>287</v>
      </c>
      <c r="D105" s="130"/>
      <c r="E105" s="122" t="s">
        <v>21</v>
      </c>
      <c r="F105" s="125"/>
      <c r="G105" s="122">
        <f>G104*0.2</f>
        <v>500</v>
      </c>
    </row>
    <row r="106" ht="54" customHeight="1" spans="1:7">
      <c r="A106" s="124"/>
      <c r="B106" s="109" t="s">
        <v>288</v>
      </c>
      <c r="C106" s="130" t="s">
        <v>289</v>
      </c>
      <c r="D106" s="130"/>
      <c r="E106" s="122" t="s">
        <v>21</v>
      </c>
      <c r="F106" s="125"/>
      <c r="G106" s="122">
        <v>2500</v>
      </c>
    </row>
    <row r="107" ht="54" customHeight="1" spans="1:7">
      <c r="A107" s="126"/>
      <c r="B107" s="109" t="s">
        <v>290</v>
      </c>
      <c r="C107" s="130" t="s">
        <v>291</v>
      </c>
      <c r="D107" s="130"/>
      <c r="E107" s="122" t="s">
        <v>21</v>
      </c>
      <c r="F107" s="127"/>
      <c r="G107" s="122">
        <v>2500</v>
      </c>
    </row>
    <row r="108" ht="57" customHeight="1" spans="1:7">
      <c r="A108" s="122">
        <v>52</v>
      </c>
      <c r="B108" s="109" t="s">
        <v>292</v>
      </c>
      <c r="C108" s="130" t="s">
        <v>293</v>
      </c>
      <c r="D108" s="121" t="s">
        <v>294</v>
      </c>
      <c r="E108" s="122" t="s">
        <v>21</v>
      </c>
      <c r="F108" s="120"/>
      <c r="G108" s="122">
        <v>500</v>
      </c>
    </row>
    <row r="109" ht="57" customHeight="1" spans="1:7">
      <c r="A109" s="122"/>
      <c r="B109" s="109" t="s">
        <v>295</v>
      </c>
      <c r="C109" s="130" t="s">
        <v>296</v>
      </c>
      <c r="D109" s="130"/>
      <c r="E109" s="122" t="s">
        <v>21</v>
      </c>
      <c r="F109" s="120"/>
      <c r="G109" s="122">
        <f>G108*0.2</f>
        <v>100</v>
      </c>
    </row>
    <row r="110" ht="57" customHeight="1" spans="1:7">
      <c r="A110" s="122">
        <v>52</v>
      </c>
      <c r="B110" s="109" t="s">
        <v>297</v>
      </c>
      <c r="C110" s="130" t="s">
        <v>298</v>
      </c>
      <c r="D110" s="130"/>
      <c r="E110" s="122" t="s">
        <v>21</v>
      </c>
      <c r="F110" s="120"/>
      <c r="G110" s="122">
        <f>G108*0.3</f>
        <v>150</v>
      </c>
    </row>
    <row r="111" ht="57" customHeight="1" spans="1:7">
      <c r="A111" s="122"/>
      <c r="B111" s="109" t="s">
        <v>299</v>
      </c>
      <c r="C111" s="130" t="s">
        <v>300</v>
      </c>
      <c r="D111" s="130"/>
      <c r="E111" s="122" t="s">
        <v>21</v>
      </c>
      <c r="F111" s="120"/>
      <c r="G111" s="122">
        <f>G108</f>
        <v>500</v>
      </c>
    </row>
    <row r="112" ht="57" customHeight="1" spans="1:7">
      <c r="A112" s="122"/>
      <c r="B112" s="109" t="s">
        <v>301</v>
      </c>
      <c r="C112" s="130" t="s">
        <v>302</v>
      </c>
      <c r="D112" s="130"/>
      <c r="E112" s="122" t="s">
        <v>21</v>
      </c>
      <c r="F112" s="120"/>
      <c r="G112" s="122">
        <f>G108</f>
        <v>500</v>
      </c>
    </row>
    <row r="113" ht="51" customHeight="1" spans="1:7">
      <c r="A113" s="119">
        <v>53</v>
      </c>
      <c r="B113" s="109" t="s">
        <v>303</v>
      </c>
      <c r="C113" s="121" t="s">
        <v>304</v>
      </c>
      <c r="D113" s="121" t="s">
        <v>305</v>
      </c>
      <c r="E113" s="122" t="s">
        <v>21</v>
      </c>
      <c r="F113" s="121"/>
      <c r="G113" s="122">
        <v>2000</v>
      </c>
    </row>
    <row r="114" ht="51" customHeight="1" spans="1:7">
      <c r="A114" s="126"/>
      <c r="B114" s="109" t="s">
        <v>306</v>
      </c>
      <c r="C114" s="121" t="s">
        <v>307</v>
      </c>
      <c r="D114" s="121"/>
      <c r="E114" s="122" t="s">
        <v>21</v>
      </c>
      <c r="F114" s="121"/>
      <c r="G114" s="122">
        <f t="shared" ref="G114:G118" si="3">G113*0.2</f>
        <v>400</v>
      </c>
    </row>
    <row r="115" ht="51" customHeight="1" spans="1:7">
      <c r="A115" s="119">
        <v>54</v>
      </c>
      <c r="B115" s="109" t="s">
        <v>308</v>
      </c>
      <c r="C115" s="120" t="s">
        <v>309</v>
      </c>
      <c r="D115" s="121" t="s">
        <v>310</v>
      </c>
      <c r="E115" s="122" t="s">
        <v>21</v>
      </c>
      <c r="F115" s="120"/>
      <c r="G115" s="122">
        <v>1690</v>
      </c>
    </row>
    <row r="116" ht="51" customHeight="1" spans="1:7">
      <c r="A116" s="126"/>
      <c r="B116" s="109" t="s">
        <v>311</v>
      </c>
      <c r="C116" s="120" t="s">
        <v>312</v>
      </c>
      <c r="D116" s="120"/>
      <c r="E116" s="122" t="s">
        <v>21</v>
      </c>
      <c r="F116" s="120"/>
      <c r="G116" s="122">
        <f t="shared" si="3"/>
        <v>338</v>
      </c>
    </row>
    <row r="117" ht="51" customHeight="1" spans="1:7">
      <c r="A117" s="122">
        <v>55</v>
      </c>
      <c r="B117" s="109" t="s">
        <v>313</v>
      </c>
      <c r="C117" s="120" t="s">
        <v>314</v>
      </c>
      <c r="D117" s="121" t="s">
        <v>315</v>
      </c>
      <c r="E117" s="122" t="s">
        <v>21</v>
      </c>
      <c r="F117" s="123" t="s">
        <v>316</v>
      </c>
      <c r="G117" s="122">
        <v>200</v>
      </c>
    </row>
    <row r="118" ht="42" customHeight="1" spans="1:7">
      <c r="A118" s="122"/>
      <c r="B118" s="109" t="s">
        <v>317</v>
      </c>
      <c r="C118" s="120" t="s">
        <v>318</v>
      </c>
      <c r="D118" s="120"/>
      <c r="E118" s="122" t="s">
        <v>21</v>
      </c>
      <c r="F118" s="127"/>
      <c r="G118" s="122">
        <f t="shared" si="3"/>
        <v>40</v>
      </c>
    </row>
    <row r="119" ht="51" customHeight="1" spans="1:7">
      <c r="A119" s="122">
        <v>56</v>
      </c>
      <c r="B119" s="109" t="s">
        <v>319</v>
      </c>
      <c r="C119" s="130" t="s">
        <v>320</v>
      </c>
      <c r="D119" s="121" t="s">
        <v>321</v>
      </c>
      <c r="E119" s="122" t="s">
        <v>15</v>
      </c>
      <c r="F119" s="121"/>
      <c r="G119" s="122">
        <v>15.4</v>
      </c>
    </row>
    <row r="120" ht="52" customHeight="1" spans="1:7">
      <c r="A120" s="108">
        <v>57</v>
      </c>
      <c r="B120" s="109" t="s">
        <v>322</v>
      </c>
      <c r="C120" s="131" t="s">
        <v>323</v>
      </c>
      <c r="D120" s="132" t="s">
        <v>324</v>
      </c>
      <c r="E120" s="111" t="s">
        <v>15</v>
      </c>
      <c r="F120" s="116" t="s">
        <v>325</v>
      </c>
      <c r="G120" s="111">
        <v>2088</v>
      </c>
    </row>
    <row r="121" ht="52" customHeight="1" spans="1:7">
      <c r="A121" s="113"/>
      <c r="B121" s="109" t="s">
        <v>326</v>
      </c>
      <c r="C121" s="131" t="s">
        <v>327</v>
      </c>
      <c r="D121" s="131"/>
      <c r="E121" s="111" t="s">
        <v>15</v>
      </c>
      <c r="F121" s="133"/>
      <c r="G121" s="111">
        <v>417</v>
      </c>
    </row>
    <row r="122" ht="52" customHeight="1" spans="1:7">
      <c r="A122" s="112"/>
      <c r="B122" s="109" t="s">
        <v>328</v>
      </c>
      <c r="C122" s="131" t="s">
        <v>329</v>
      </c>
      <c r="D122" s="131"/>
      <c r="E122" s="111" t="s">
        <v>15</v>
      </c>
      <c r="F122" s="118"/>
      <c r="G122" s="134">
        <f>G120*0.3</f>
        <v>626.4</v>
      </c>
    </row>
    <row r="123" ht="52" customHeight="1" spans="1:7">
      <c r="A123" s="108">
        <v>58</v>
      </c>
      <c r="B123" s="109" t="s">
        <v>330</v>
      </c>
      <c r="C123" s="135" t="s">
        <v>331</v>
      </c>
      <c r="D123" s="132" t="s">
        <v>332</v>
      </c>
      <c r="E123" s="111" t="s">
        <v>21</v>
      </c>
      <c r="F123" s="119" t="s">
        <v>333</v>
      </c>
      <c r="G123" s="122">
        <v>700</v>
      </c>
    </row>
    <row r="124" ht="52" customHeight="1" spans="1:7">
      <c r="A124" s="112"/>
      <c r="B124" s="109" t="s">
        <v>334</v>
      </c>
      <c r="C124" s="135" t="s">
        <v>335</v>
      </c>
      <c r="D124" s="135"/>
      <c r="E124" s="111" t="s">
        <v>21</v>
      </c>
      <c r="F124" s="126"/>
      <c r="G124" s="122">
        <f t="shared" ref="G124:G129" si="4">G123*0.2</f>
        <v>140</v>
      </c>
    </row>
    <row r="125" ht="52" customHeight="1" spans="1:7">
      <c r="A125" s="108">
        <v>59</v>
      </c>
      <c r="B125" s="109" t="s">
        <v>336</v>
      </c>
      <c r="C125" s="131" t="s">
        <v>337</v>
      </c>
      <c r="D125" s="121" t="s">
        <v>338</v>
      </c>
      <c r="E125" s="111" t="s">
        <v>21</v>
      </c>
      <c r="F125" s="116" t="s">
        <v>339</v>
      </c>
      <c r="G125" s="111">
        <v>2500</v>
      </c>
    </row>
    <row r="126" ht="52" customHeight="1" spans="1:7">
      <c r="A126" s="113"/>
      <c r="B126" s="109" t="s">
        <v>340</v>
      </c>
      <c r="C126" s="131" t="s">
        <v>341</v>
      </c>
      <c r="D126" s="131"/>
      <c r="E126" s="111" t="s">
        <v>21</v>
      </c>
      <c r="F126" s="133"/>
      <c r="G126" s="111">
        <f t="shared" si="4"/>
        <v>500</v>
      </c>
    </row>
    <row r="127" ht="52" customHeight="1" spans="1:7">
      <c r="A127" s="112"/>
      <c r="B127" s="109" t="s">
        <v>342</v>
      </c>
      <c r="C127" s="131" t="s">
        <v>343</v>
      </c>
      <c r="D127" s="131"/>
      <c r="E127" s="111" t="s">
        <v>21</v>
      </c>
      <c r="F127" s="118"/>
      <c r="G127" s="111">
        <f>G125</f>
        <v>2500</v>
      </c>
    </row>
    <row r="128" ht="49" customHeight="1" spans="1:7">
      <c r="A128" s="108">
        <v>60</v>
      </c>
      <c r="B128" s="109" t="s">
        <v>344</v>
      </c>
      <c r="C128" s="131" t="s">
        <v>345</v>
      </c>
      <c r="D128" s="121" t="s">
        <v>346</v>
      </c>
      <c r="E128" s="111" t="s">
        <v>21</v>
      </c>
      <c r="F128" s="116" t="s">
        <v>339</v>
      </c>
      <c r="G128" s="111">
        <f>G125*0.6</f>
        <v>1500</v>
      </c>
    </row>
    <row r="129" ht="49" customHeight="1" spans="1:7">
      <c r="A129" s="113"/>
      <c r="B129" s="109" t="s">
        <v>347</v>
      </c>
      <c r="C129" s="131" t="s">
        <v>348</v>
      </c>
      <c r="D129" s="131"/>
      <c r="E129" s="111" t="s">
        <v>21</v>
      </c>
      <c r="F129" s="133"/>
      <c r="G129" s="111">
        <f t="shared" si="4"/>
        <v>300</v>
      </c>
    </row>
    <row r="130" ht="49" customHeight="1" spans="1:7">
      <c r="A130" s="112"/>
      <c r="B130" s="109" t="s">
        <v>349</v>
      </c>
      <c r="C130" s="131" t="s">
        <v>350</v>
      </c>
      <c r="D130" s="131"/>
      <c r="E130" s="111" t="s">
        <v>21</v>
      </c>
      <c r="F130" s="118"/>
      <c r="G130" s="111">
        <f>G128</f>
        <v>1500</v>
      </c>
    </row>
    <row r="131" ht="49" customHeight="1" spans="1:7">
      <c r="A131" s="108">
        <v>61</v>
      </c>
      <c r="B131" s="109" t="s">
        <v>351</v>
      </c>
      <c r="C131" s="104" t="s">
        <v>352</v>
      </c>
      <c r="D131" s="121" t="s">
        <v>353</v>
      </c>
      <c r="E131" s="111" t="s">
        <v>15</v>
      </c>
      <c r="F131" s="116" t="s">
        <v>339</v>
      </c>
      <c r="G131" s="111">
        <v>225</v>
      </c>
    </row>
    <row r="132" ht="49" customHeight="1" spans="1:7">
      <c r="A132" s="112"/>
      <c r="B132" s="109" t="s">
        <v>354</v>
      </c>
      <c r="C132" s="104" t="s">
        <v>355</v>
      </c>
      <c r="D132" s="104"/>
      <c r="E132" s="111" t="s">
        <v>15</v>
      </c>
      <c r="F132" s="118"/>
      <c r="G132" s="111">
        <v>225</v>
      </c>
    </row>
    <row r="133" ht="49" customHeight="1" spans="1:7">
      <c r="A133" s="108">
        <v>62</v>
      </c>
      <c r="B133" s="109" t="s">
        <v>356</v>
      </c>
      <c r="C133" s="104" t="s">
        <v>357</v>
      </c>
      <c r="D133" s="121" t="s">
        <v>358</v>
      </c>
      <c r="E133" s="111" t="s">
        <v>21</v>
      </c>
      <c r="F133" s="123" t="s">
        <v>339</v>
      </c>
      <c r="G133" s="122">
        <f>(G125+G128)*0.8</f>
        <v>3200</v>
      </c>
    </row>
    <row r="134" ht="49" customHeight="1" spans="1:7">
      <c r="A134" s="113"/>
      <c r="B134" s="109" t="s">
        <v>359</v>
      </c>
      <c r="C134" s="104" t="s">
        <v>360</v>
      </c>
      <c r="D134" s="104"/>
      <c r="E134" s="111" t="s">
        <v>21</v>
      </c>
      <c r="F134" s="125"/>
      <c r="G134" s="122">
        <f>G133*0.2</f>
        <v>640</v>
      </c>
    </row>
    <row r="135" ht="49" customHeight="1" spans="1:7">
      <c r="A135" s="112"/>
      <c r="B135" s="109" t="s">
        <v>361</v>
      </c>
      <c r="C135" s="104" t="s">
        <v>362</v>
      </c>
      <c r="D135" s="104"/>
      <c r="E135" s="111" t="s">
        <v>21</v>
      </c>
      <c r="F135" s="127"/>
      <c r="G135" s="122">
        <f>G133</f>
        <v>3200</v>
      </c>
    </row>
    <row r="136" ht="53" customHeight="1" spans="1:7">
      <c r="A136" s="108">
        <v>63</v>
      </c>
      <c r="B136" s="109" t="s">
        <v>363</v>
      </c>
      <c r="C136" s="104" t="s">
        <v>364</v>
      </c>
      <c r="D136" s="121" t="s">
        <v>365</v>
      </c>
      <c r="E136" s="111" t="s">
        <v>21</v>
      </c>
      <c r="F136" s="120"/>
      <c r="G136" s="122">
        <v>6400</v>
      </c>
    </row>
    <row r="137" ht="53" customHeight="1" spans="1:7">
      <c r="A137" s="113"/>
      <c r="B137" s="109" t="s">
        <v>366</v>
      </c>
      <c r="C137" s="104" t="s">
        <v>367</v>
      </c>
      <c r="D137" s="104"/>
      <c r="E137" s="111" t="s">
        <v>21</v>
      </c>
      <c r="F137" s="120"/>
      <c r="G137" s="122">
        <f>G136*0.2</f>
        <v>1280</v>
      </c>
    </row>
    <row r="138" ht="53" customHeight="1" spans="1:7">
      <c r="A138" s="112"/>
      <c r="B138" s="109" t="s">
        <v>368</v>
      </c>
      <c r="C138" s="104" t="s">
        <v>369</v>
      </c>
      <c r="D138" s="104"/>
      <c r="E138" s="111" t="s">
        <v>21</v>
      </c>
      <c r="F138" s="120"/>
      <c r="G138" s="122">
        <f>G136*0.3</f>
        <v>1920</v>
      </c>
    </row>
    <row r="139" ht="53" customHeight="1" spans="1:7">
      <c r="A139" s="108">
        <v>64</v>
      </c>
      <c r="B139" s="109" t="s">
        <v>370</v>
      </c>
      <c r="C139" s="110" t="s">
        <v>371</v>
      </c>
      <c r="D139" s="121" t="s">
        <v>372</v>
      </c>
      <c r="E139" s="111" t="s">
        <v>21</v>
      </c>
      <c r="F139" s="116" t="s">
        <v>373</v>
      </c>
      <c r="G139" s="111">
        <v>3200</v>
      </c>
    </row>
    <row r="140" ht="53" customHeight="1" spans="1:7">
      <c r="A140" s="112"/>
      <c r="B140" s="109" t="s">
        <v>374</v>
      </c>
      <c r="C140" s="110" t="s">
        <v>375</v>
      </c>
      <c r="D140" s="121"/>
      <c r="E140" s="111" t="s">
        <v>21</v>
      </c>
      <c r="F140" s="118"/>
      <c r="G140" s="122">
        <f>G139*0.2</f>
        <v>640</v>
      </c>
    </row>
    <row r="141" ht="53" customHeight="1" spans="1:7">
      <c r="A141" s="122">
        <v>65</v>
      </c>
      <c r="B141" s="109" t="s">
        <v>376</v>
      </c>
      <c r="C141" s="121" t="s">
        <v>377</v>
      </c>
      <c r="D141" s="121" t="s">
        <v>378</v>
      </c>
      <c r="E141" s="122" t="s">
        <v>21</v>
      </c>
      <c r="F141" s="121"/>
      <c r="G141" s="122">
        <v>2200</v>
      </c>
    </row>
    <row r="142" ht="53" customHeight="1" spans="1:7">
      <c r="A142" s="119">
        <v>66</v>
      </c>
      <c r="B142" s="109" t="s">
        <v>379</v>
      </c>
      <c r="C142" s="120" t="s">
        <v>380</v>
      </c>
      <c r="D142" s="121" t="s">
        <v>381</v>
      </c>
      <c r="E142" s="122" t="s">
        <v>21</v>
      </c>
      <c r="F142" s="121"/>
      <c r="G142" s="122">
        <v>12800</v>
      </c>
    </row>
    <row r="143" ht="53" customHeight="1" spans="1:7">
      <c r="A143" s="124"/>
      <c r="B143" s="109" t="s">
        <v>382</v>
      </c>
      <c r="C143" s="120" t="s">
        <v>383</v>
      </c>
      <c r="D143" s="120"/>
      <c r="E143" s="122" t="s">
        <v>21</v>
      </c>
      <c r="F143" s="121"/>
      <c r="G143" s="122">
        <f>G142*0.2</f>
        <v>2560</v>
      </c>
    </row>
    <row r="144" ht="53" customHeight="1" spans="1:7">
      <c r="A144" s="124"/>
      <c r="B144" s="109" t="s">
        <v>384</v>
      </c>
      <c r="C144" s="120" t="s">
        <v>385</v>
      </c>
      <c r="D144" s="120"/>
      <c r="E144" s="122" t="s">
        <v>21</v>
      </c>
      <c r="F144" s="121"/>
      <c r="G144" s="136">
        <f>G142*0.3</f>
        <v>3840</v>
      </c>
    </row>
    <row r="145" ht="53" customHeight="1" spans="1:7">
      <c r="A145" s="124"/>
      <c r="B145" s="109" t="s">
        <v>386</v>
      </c>
      <c r="C145" s="120" t="s">
        <v>387</v>
      </c>
      <c r="D145" s="120"/>
      <c r="E145" s="122" t="s">
        <v>21</v>
      </c>
      <c r="F145" s="121"/>
      <c r="G145" s="136">
        <f>G142*0.3</f>
        <v>3840</v>
      </c>
    </row>
    <row r="146" ht="53" customHeight="1" spans="1:7">
      <c r="A146" s="124"/>
      <c r="B146" s="109" t="s">
        <v>388</v>
      </c>
      <c r="C146" s="120" t="s">
        <v>389</v>
      </c>
      <c r="D146" s="120"/>
      <c r="E146" s="122" t="s">
        <v>21</v>
      </c>
      <c r="F146" s="121"/>
      <c r="G146" s="136">
        <f>G142*0.3</f>
        <v>3840</v>
      </c>
    </row>
    <row r="147" ht="53" customHeight="1" spans="1:7">
      <c r="A147" s="126"/>
      <c r="B147" s="109" t="s">
        <v>390</v>
      </c>
      <c r="C147" s="120" t="s">
        <v>391</v>
      </c>
      <c r="D147" s="120"/>
      <c r="E147" s="122" t="s">
        <v>21</v>
      </c>
      <c r="F147" s="121"/>
      <c r="G147" s="136">
        <f>G142*0.3</f>
        <v>3840</v>
      </c>
    </row>
    <row r="148" ht="53" customHeight="1" spans="1:7">
      <c r="A148" s="119">
        <v>67</v>
      </c>
      <c r="B148" s="109" t="s">
        <v>392</v>
      </c>
      <c r="C148" s="121" t="s">
        <v>393</v>
      </c>
      <c r="D148" s="121" t="s">
        <v>394</v>
      </c>
      <c r="E148" s="122" t="s">
        <v>21</v>
      </c>
      <c r="F148" s="121"/>
      <c r="G148" s="122">
        <v>5500</v>
      </c>
    </row>
    <row r="149" ht="53" customHeight="1" spans="1:7">
      <c r="A149" s="126"/>
      <c r="B149" s="109" t="s">
        <v>395</v>
      </c>
      <c r="C149" s="121" t="s">
        <v>396</v>
      </c>
      <c r="D149" s="121"/>
      <c r="E149" s="122" t="s">
        <v>21</v>
      </c>
      <c r="F149" s="121"/>
      <c r="G149" s="122">
        <f t="shared" ref="G149:G153" si="5">G148*0.2</f>
        <v>1100</v>
      </c>
    </row>
    <row r="150" ht="45" customHeight="1" spans="1:7">
      <c r="A150" s="119">
        <v>68</v>
      </c>
      <c r="B150" s="109" t="s">
        <v>397</v>
      </c>
      <c r="C150" s="110" t="s">
        <v>398</v>
      </c>
      <c r="D150" s="121" t="s">
        <v>399</v>
      </c>
      <c r="E150" s="122" t="s">
        <v>21</v>
      </c>
      <c r="F150" s="110" t="s">
        <v>400</v>
      </c>
      <c r="G150" s="111">
        <v>5600</v>
      </c>
    </row>
    <row r="151" ht="45" customHeight="1" spans="1:7">
      <c r="A151" s="126"/>
      <c r="B151" s="109" t="s">
        <v>401</v>
      </c>
      <c r="C151" s="110" t="s">
        <v>402</v>
      </c>
      <c r="D151" s="121"/>
      <c r="E151" s="122" t="s">
        <v>21</v>
      </c>
      <c r="F151" s="121"/>
      <c r="G151" s="122">
        <f t="shared" si="5"/>
        <v>1120</v>
      </c>
    </row>
    <row r="152" ht="45" customHeight="1" spans="1:7">
      <c r="A152" s="119">
        <v>69</v>
      </c>
      <c r="B152" s="109" t="s">
        <v>403</v>
      </c>
      <c r="C152" s="120" t="s">
        <v>404</v>
      </c>
      <c r="D152" s="121" t="s">
        <v>405</v>
      </c>
      <c r="E152" s="122" t="s">
        <v>21</v>
      </c>
      <c r="F152" s="120"/>
      <c r="G152" s="122">
        <v>6990</v>
      </c>
    </row>
    <row r="153" ht="45" customHeight="1" spans="1:7">
      <c r="A153" s="124"/>
      <c r="B153" s="109" t="s">
        <v>406</v>
      </c>
      <c r="C153" s="120" t="s">
        <v>407</v>
      </c>
      <c r="D153" s="120"/>
      <c r="E153" s="122" t="s">
        <v>21</v>
      </c>
      <c r="F153" s="120"/>
      <c r="G153" s="122">
        <f t="shared" si="5"/>
        <v>1398</v>
      </c>
    </row>
    <row r="154" ht="45" customHeight="1" spans="1:7">
      <c r="A154" s="124"/>
      <c r="B154" s="109" t="s">
        <v>408</v>
      </c>
      <c r="C154" s="120" t="s">
        <v>409</v>
      </c>
      <c r="D154" s="120"/>
      <c r="E154" s="122" t="s">
        <v>21</v>
      </c>
      <c r="F154" s="120"/>
      <c r="G154" s="122">
        <f>G152*0.3</f>
        <v>2097</v>
      </c>
    </row>
    <row r="155" ht="45" customHeight="1" spans="1:7">
      <c r="A155" s="126"/>
      <c r="B155" s="109" t="s">
        <v>410</v>
      </c>
      <c r="C155" s="120" t="s">
        <v>411</v>
      </c>
      <c r="D155" s="120"/>
      <c r="E155" s="122" t="s">
        <v>21</v>
      </c>
      <c r="F155" s="120"/>
      <c r="G155" s="122">
        <f>G152*0.3</f>
        <v>2097</v>
      </c>
    </row>
    <row r="156" ht="53" customHeight="1" spans="1:7">
      <c r="A156" s="108">
        <v>70</v>
      </c>
      <c r="B156" s="109" t="s">
        <v>412</v>
      </c>
      <c r="C156" s="110" t="s">
        <v>413</v>
      </c>
      <c r="D156" s="121" t="s">
        <v>414</v>
      </c>
      <c r="E156" s="111" t="s">
        <v>21</v>
      </c>
      <c r="F156" s="110"/>
      <c r="G156" s="111">
        <v>5000</v>
      </c>
    </row>
    <row r="157" ht="45" customHeight="1" spans="1:7">
      <c r="A157" s="112"/>
      <c r="B157" s="109" t="s">
        <v>415</v>
      </c>
      <c r="C157" s="110" t="s">
        <v>416</v>
      </c>
      <c r="D157" s="110"/>
      <c r="E157" s="111" t="s">
        <v>21</v>
      </c>
      <c r="F157" s="110"/>
      <c r="G157" s="111">
        <f t="shared" ref="G157:G161" si="6">G156*0.2</f>
        <v>1000</v>
      </c>
    </row>
    <row r="158" ht="45" customHeight="1" spans="1:7">
      <c r="A158" s="108">
        <v>71</v>
      </c>
      <c r="B158" s="109" t="s">
        <v>417</v>
      </c>
      <c r="C158" s="110" t="s">
        <v>418</v>
      </c>
      <c r="D158" s="121" t="s">
        <v>419</v>
      </c>
      <c r="E158" s="111" t="s">
        <v>21</v>
      </c>
      <c r="F158" s="110"/>
      <c r="G158" s="111">
        <v>4270</v>
      </c>
    </row>
    <row r="159" ht="45" customHeight="1" spans="1:7">
      <c r="A159" s="112"/>
      <c r="B159" s="109" t="s">
        <v>420</v>
      </c>
      <c r="C159" s="110" t="s">
        <v>421</v>
      </c>
      <c r="D159" s="110"/>
      <c r="E159" s="111" t="s">
        <v>21</v>
      </c>
      <c r="F159" s="110"/>
      <c r="G159" s="111">
        <f t="shared" si="6"/>
        <v>854</v>
      </c>
    </row>
    <row r="160" ht="54" customHeight="1" spans="1:7">
      <c r="A160" s="108">
        <v>72</v>
      </c>
      <c r="B160" s="109" t="s">
        <v>422</v>
      </c>
      <c r="C160" s="110" t="s">
        <v>423</v>
      </c>
      <c r="D160" s="121" t="s">
        <v>424</v>
      </c>
      <c r="E160" s="111" t="s">
        <v>21</v>
      </c>
      <c r="F160" s="116" t="s">
        <v>425</v>
      </c>
      <c r="G160" s="111">
        <v>3710</v>
      </c>
    </row>
    <row r="161" ht="40" customHeight="1" spans="1:7">
      <c r="A161" s="112"/>
      <c r="B161" s="109" t="s">
        <v>426</v>
      </c>
      <c r="C161" s="110" t="s">
        <v>427</v>
      </c>
      <c r="D161" s="110"/>
      <c r="E161" s="111" t="s">
        <v>21</v>
      </c>
      <c r="F161" s="118"/>
      <c r="G161" s="122">
        <f t="shared" si="6"/>
        <v>742</v>
      </c>
    </row>
    <row r="162" ht="49" customHeight="1" spans="1:7">
      <c r="A162" s="108">
        <v>73</v>
      </c>
      <c r="B162" s="109" t="s">
        <v>428</v>
      </c>
      <c r="C162" s="104" t="s">
        <v>429</v>
      </c>
      <c r="D162" s="121" t="s">
        <v>430</v>
      </c>
      <c r="E162" s="111" t="s">
        <v>21</v>
      </c>
      <c r="F162" s="120"/>
      <c r="G162" s="122">
        <v>4800</v>
      </c>
    </row>
    <row r="163" ht="49" customHeight="1" spans="1:7">
      <c r="A163" s="113"/>
      <c r="B163" s="109" t="s">
        <v>431</v>
      </c>
      <c r="C163" s="104" t="s">
        <v>432</v>
      </c>
      <c r="D163" s="111"/>
      <c r="E163" s="111" t="s">
        <v>21</v>
      </c>
      <c r="F163" s="120"/>
      <c r="G163" s="122">
        <f>G162*0.2</f>
        <v>960</v>
      </c>
    </row>
    <row r="164" ht="49" customHeight="1" spans="1:7">
      <c r="A164" s="112"/>
      <c r="B164" s="109" t="s">
        <v>433</v>
      </c>
      <c r="C164" s="104" t="s">
        <v>434</v>
      </c>
      <c r="D164" s="104"/>
      <c r="E164" s="111" t="s">
        <v>21</v>
      </c>
      <c r="F164" s="120"/>
      <c r="G164" s="122">
        <f>G162*0.3</f>
        <v>1440</v>
      </c>
    </row>
    <row r="165" ht="49" customHeight="1" spans="1:7">
      <c r="A165" s="108">
        <v>74</v>
      </c>
      <c r="B165" s="109" t="s">
        <v>435</v>
      </c>
      <c r="C165" s="104" t="s">
        <v>436</v>
      </c>
      <c r="D165" s="121" t="s">
        <v>437</v>
      </c>
      <c r="E165" s="111" t="s">
        <v>21</v>
      </c>
      <c r="F165" s="120"/>
      <c r="G165" s="122">
        <v>6000</v>
      </c>
    </row>
    <row r="166" ht="49" customHeight="1" spans="1:7">
      <c r="A166" s="113"/>
      <c r="B166" s="109" t="s">
        <v>438</v>
      </c>
      <c r="C166" s="104" t="s">
        <v>439</v>
      </c>
      <c r="D166" s="111"/>
      <c r="E166" s="111" t="s">
        <v>21</v>
      </c>
      <c r="F166" s="120"/>
      <c r="G166" s="122">
        <f t="shared" ref="G166:G171" si="7">G165*0.2</f>
        <v>1200</v>
      </c>
    </row>
    <row r="167" ht="49" customHeight="1" spans="1:7">
      <c r="A167" s="112"/>
      <c r="B167" s="109" t="s">
        <v>440</v>
      </c>
      <c r="C167" s="104" t="s">
        <v>441</v>
      </c>
      <c r="D167" s="104"/>
      <c r="E167" s="111" t="s">
        <v>21</v>
      </c>
      <c r="F167" s="120"/>
      <c r="G167" s="122">
        <f>G165*0.3</f>
        <v>1800</v>
      </c>
    </row>
    <row r="168" ht="49" customHeight="1" spans="1:7">
      <c r="A168" s="108">
        <v>75</v>
      </c>
      <c r="B168" s="109" t="s">
        <v>442</v>
      </c>
      <c r="C168" s="110" t="s">
        <v>443</v>
      </c>
      <c r="D168" s="121" t="s">
        <v>444</v>
      </c>
      <c r="E168" s="111" t="s">
        <v>21</v>
      </c>
      <c r="F168" s="110"/>
      <c r="G168" s="111">
        <v>5070</v>
      </c>
    </row>
    <row r="169" ht="49" customHeight="1" spans="1:7">
      <c r="A169" s="112"/>
      <c r="B169" s="109" t="s">
        <v>445</v>
      </c>
      <c r="C169" s="110" t="s">
        <v>446</v>
      </c>
      <c r="D169" s="110"/>
      <c r="E169" s="111" t="s">
        <v>21</v>
      </c>
      <c r="F169" s="110"/>
      <c r="G169" s="111">
        <f t="shared" si="7"/>
        <v>1014</v>
      </c>
    </row>
    <row r="170" ht="49" customHeight="1" spans="1:7">
      <c r="A170" s="108">
        <v>76</v>
      </c>
      <c r="B170" s="109" t="s">
        <v>447</v>
      </c>
      <c r="C170" s="110" t="s">
        <v>448</v>
      </c>
      <c r="D170" s="121" t="s">
        <v>449</v>
      </c>
      <c r="E170" s="111" t="s">
        <v>21</v>
      </c>
      <c r="F170" s="110"/>
      <c r="G170" s="111">
        <v>4750</v>
      </c>
    </row>
    <row r="171" ht="41" customHeight="1" spans="1:7">
      <c r="A171" s="112"/>
      <c r="B171" s="109" t="s">
        <v>450</v>
      </c>
      <c r="C171" s="110" t="s">
        <v>451</v>
      </c>
      <c r="D171" s="110"/>
      <c r="E171" s="111" t="s">
        <v>21</v>
      </c>
      <c r="F171" s="110"/>
      <c r="G171" s="111">
        <f t="shared" si="7"/>
        <v>950</v>
      </c>
    </row>
    <row r="172" ht="49" customHeight="1" spans="1:7">
      <c r="A172" s="108">
        <v>77</v>
      </c>
      <c r="B172" s="109" t="s">
        <v>452</v>
      </c>
      <c r="C172" s="110" t="s">
        <v>453</v>
      </c>
      <c r="D172" s="121" t="s">
        <v>454</v>
      </c>
      <c r="E172" s="111" t="s">
        <v>21</v>
      </c>
      <c r="F172" s="116" t="s">
        <v>455</v>
      </c>
      <c r="G172" s="111">
        <v>2160</v>
      </c>
    </row>
    <row r="173" ht="49" customHeight="1" spans="1:7">
      <c r="A173" s="112"/>
      <c r="B173" s="109" t="s">
        <v>456</v>
      </c>
      <c r="C173" s="110" t="s">
        <v>457</v>
      </c>
      <c r="D173" s="110"/>
      <c r="E173" s="111" t="s">
        <v>21</v>
      </c>
      <c r="F173" s="118"/>
      <c r="G173" s="111">
        <f t="shared" ref="G173:G177" si="8">G172*0.2</f>
        <v>432</v>
      </c>
    </row>
    <row r="174" ht="53" customHeight="1" spans="1:7">
      <c r="A174" s="108">
        <v>78</v>
      </c>
      <c r="B174" s="109" t="s">
        <v>458</v>
      </c>
      <c r="C174" s="110" t="s">
        <v>459</v>
      </c>
      <c r="D174" s="121" t="s">
        <v>460</v>
      </c>
      <c r="E174" s="111" t="s">
        <v>21</v>
      </c>
      <c r="F174" s="110"/>
      <c r="G174" s="111">
        <v>8330</v>
      </c>
    </row>
    <row r="175" ht="45" customHeight="1" spans="1:7">
      <c r="A175" s="112"/>
      <c r="B175" s="109" t="s">
        <v>461</v>
      </c>
      <c r="C175" s="110" t="s">
        <v>462</v>
      </c>
      <c r="D175" s="110"/>
      <c r="E175" s="111" t="s">
        <v>21</v>
      </c>
      <c r="F175" s="110"/>
      <c r="G175" s="111">
        <f t="shared" si="8"/>
        <v>1666</v>
      </c>
    </row>
    <row r="176" ht="53" customHeight="1" spans="1:7">
      <c r="A176" s="108">
        <v>79</v>
      </c>
      <c r="B176" s="109" t="s">
        <v>463</v>
      </c>
      <c r="C176" s="104" t="s">
        <v>464</v>
      </c>
      <c r="D176" s="121" t="s">
        <v>465</v>
      </c>
      <c r="E176" s="111" t="s">
        <v>21</v>
      </c>
      <c r="F176" s="120"/>
      <c r="G176" s="122">
        <v>4220</v>
      </c>
    </row>
    <row r="177" ht="53" customHeight="1" spans="1:7">
      <c r="A177" s="113"/>
      <c r="B177" s="109" t="s">
        <v>466</v>
      </c>
      <c r="C177" s="104" t="s">
        <v>467</v>
      </c>
      <c r="D177" s="111"/>
      <c r="E177" s="111" t="s">
        <v>21</v>
      </c>
      <c r="F177" s="120"/>
      <c r="G177" s="122">
        <f t="shared" si="8"/>
        <v>844</v>
      </c>
    </row>
    <row r="178" ht="53" customHeight="1" spans="1:7">
      <c r="A178" s="112"/>
      <c r="B178" s="109" t="s">
        <v>468</v>
      </c>
      <c r="C178" s="104" t="s">
        <v>469</v>
      </c>
      <c r="D178" s="104"/>
      <c r="E178" s="111" t="s">
        <v>21</v>
      </c>
      <c r="F178" s="120"/>
      <c r="G178" s="122">
        <f>G176*0.3</f>
        <v>1266</v>
      </c>
    </row>
    <row r="179" ht="53" customHeight="1" spans="1:7">
      <c r="A179" s="108">
        <v>80</v>
      </c>
      <c r="B179" s="109" t="s">
        <v>470</v>
      </c>
      <c r="C179" s="104" t="s">
        <v>471</v>
      </c>
      <c r="D179" s="121" t="s">
        <v>472</v>
      </c>
      <c r="E179" s="111" t="s">
        <v>21</v>
      </c>
      <c r="F179" s="120"/>
      <c r="G179" s="122">
        <v>6530</v>
      </c>
    </row>
    <row r="180" ht="53" customHeight="1" spans="1:7">
      <c r="A180" s="113"/>
      <c r="B180" s="109" t="s">
        <v>473</v>
      </c>
      <c r="C180" s="104" t="s">
        <v>474</v>
      </c>
      <c r="D180" s="121"/>
      <c r="E180" s="111" t="s">
        <v>21</v>
      </c>
      <c r="F180" s="120"/>
      <c r="G180" s="122">
        <f t="shared" ref="G180:G185" si="9">G179*0.2</f>
        <v>1306</v>
      </c>
    </row>
    <row r="181" ht="53" customHeight="1" spans="1:7">
      <c r="A181" s="112"/>
      <c r="B181" s="109" t="s">
        <v>475</v>
      </c>
      <c r="C181" s="121" t="s">
        <v>476</v>
      </c>
      <c r="D181" s="110"/>
      <c r="E181" s="111" t="s">
        <v>21</v>
      </c>
      <c r="F181" s="120"/>
      <c r="G181" s="122">
        <f>G179*0.3</f>
        <v>1959</v>
      </c>
    </row>
    <row r="182" ht="53" customHeight="1" spans="1:7">
      <c r="A182" s="108">
        <v>81</v>
      </c>
      <c r="B182" s="109" t="s">
        <v>477</v>
      </c>
      <c r="C182" s="110" t="s">
        <v>478</v>
      </c>
      <c r="D182" s="121" t="s">
        <v>479</v>
      </c>
      <c r="E182" s="111" t="s">
        <v>21</v>
      </c>
      <c r="F182" s="116" t="s">
        <v>480</v>
      </c>
      <c r="G182" s="111">
        <v>7880</v>
      </c>
    </row>
    <row r="183" ht="53" customHeight="1" spans="1:7">
      <c r="A183" s="112"/>
      <c r="B183" s="109" t="s">
        <v>481</v>
      </c>
      <c r="C183" s="110" t="s">
        <v>482</v>
      </c>
      <c r="D183" s="110"/>
      <c r="E183" s="111" t="s">
        <v>21</v>
      </c>
      <c r="F183" s="118"/>
      <c r="G183" s="122">
        <f t="shared" si="9"/>
        <v>1576</v>
      </c>
    </row>
    <row r="184" ht="53" customHeight="1" spans="1:7">
      <c r="A184" s="108">
        <v>82</v>
      </c>
      <c r="B184" s="109" t="s">
        <v>483</v>
      </c>
      <c r="C184" s="104" t="s">
        <v>484</v>
      </c>
      <c r="D184" s="121" t="s">
        <v>485</v>
      </c>
      <c r="E184" s="111" t="s">
        <v>21</v>
      </c>
      <c r="F184" s="120"/>
      <c r="G184" s="122">
        <v>6000</v>
      </c>
    </row>
    <row r="185" ht="53" customHeight="1" spans="1:7">
      <c r="A185" s="113"/>
      <c r="B185" s="109" t="s">
        <v>486</v>
      </c>
      <c r="C185" s="104" t="s">
        <v>487</v>
      </c>
      <c r="D185" s="121"/>
      <c r="E185" s="111" t="s">
        <v>21</v>
      </c>
      <c r="F185" s="120"/>
      <c r="G185" s="122">
        <f t="shared" si="9"/>
        <v>1200</v>
      </c>
    </row>
    <row r="186" ht="53" customHeight="1" spans="1:7">
      <c r="A186" s="112"/>
      <c r="B186" s="109" t="s">
        <v>488</v>
      </c>
      <c r="C186" s="104" t="s">
        <v>489</v>
      </c>
      <c r="D186" s="110"/>
      <c r="E186" s="111" t="s">
        <v>21</v>
      </c>
      <c r="F186" s="120"/>
      <c r="G186" s="122">
        <f>G184*0.3</f>
        <v>1800</v>
      </c>
    </row>
    <row r="187" ht="50" customHeight="1" spans="1:7">
      <c r="A187" s="108">
        <v>83</v>
      </c>
      <c r="B187" s="109" t="s">
        <v>490</v>
      </c>
      <c r="C187" s="110" t="s">
        <v>491</v>
      </c>
      <c r="D187" s="121" t="s">
        <v>492</v>
      </c>
      <c r="E187" s="111" t="s">
        <v>21</v>
      </c>
      <c r="F187" s="110"/>
      <c r="G187" s="111">
        <v>6000</v>
      </c>
    </row>
    <row r="188" ht="50" customHeight="1" spans="1:7">
      <c r="A188" s="112"/>
      <c r="B188" s="109" t="s">
        <v>493</v>
      </c>
      <c r="C188" s="110" t="s">
        <v>494</v>
      </c>
      <c r="D188" s="110"/>
      <c r="E188" s="111" t="s">
        <v>21</v>
      </c>
      <c r="F188" s="110"/>
      <c r="G188" s="111">
        <f t="shared" ref="G188:G193" si="10">G187*0.2</f>
        <v>1200</v>
      </c>
    </row>
    <row r="189" ht="50" customHeight="1" spans="1:7">
      <c r="A189" s="108">
        <v>84</v>
      </c>
      <c r="B189" s="109" t="s">
        <v>495</v>
      </c>
      <c r="C189" s="104" t="s">
        <v>496</v>
      </c>
      <c r="D189" s="121" t="s">
        <v>497</v>
      </c>
      <c r="E189" s="111" t="s">
        <v>21</v>
      </c>
      <c r="F189" s="104"/>
      <c r="G189" s="111">
        <v>6260</v>
      </c>
    </row>
    <row r="190" ht="50" customHeight="1" spans="1:7">
      <c r="A190" s="113"/>
      <c r="B190" s="109" t="s">
        <v>498</v>
      </c>
      <c r="C190" s="104" t="s">
        <v>499</v>
      </c>
      <c r="D190" s="121"/>
      <c r="E190" s="111" t="s">
        <v>21</v>
      </c>
      <c r="F190" s="104"/>
      <c r="G190" s="111">
        <f t="shared" si="10"/>
        <v>1252</v>
      </c>
    </row>
    <row r="191" ht="50" customHeight="1" spans="1:7">
      <c r="A191" s="112"/>
      <c r="B191" s="109" t="s">
        <v>500</v>
      </c>
      <c r="C191" s="104" t="s">
        <v>501</v>
      </c>
      <c r="D191" s="110"/>
      <c r="E191" s="111" t="s">
        <v>21</v>
      </c>
      <c r="F191" s="104"/>
      <c r="G191" s="111">
        <f>G189*0.3</f>
        <v>1878</v>
      </c>
    </row>
    <row r="192" ht="50" customHeight="1" spans="1:7">
      <c r="A192" s="119">
        <v>85</v>
      </c>
      <c r="B192" s="109" t="s">
        <v>502</v>
      </c>
      <c r="C192" s="120" t="s">
        <v>503</v>
      </c>
      <c r="D192" s="121" t="s">
        <v>504</v>
      </c>
      <c r="E192" s="122" t="s">
        <v>21</v>
      </c>
      <c r="F192" s="104"/>
      <c r="G192" s="111">
        <v>7200</v>
      </c>
    </row>
    <row r="193" ht="50" customHeight="1" spans="1:7">
      <c r="A193" s="124"/>
      <c r="B193" s="109" t="s">
        <v>505</v>
      </c>
      <c r="C193" s="120" t="s">
        <v>506</v>
      </c>
      <c r="D193" s="120"/>
      <c r="E193" s="122" t="s">
        <v>21</v>
      </c>
      <c r="F193" s="104"/>
      <c r="G193" s="111">
        <f t="shared" si="10"/>
        <v>1440</v>
      </c>
    </row>
    <row r="194" ht="50" customHeight="1" spans="1:7">
      <c r="A194" s="126"/>
      <c r="B194" s="109" t="s">
        <v>507</v>
      </c>
      <c r="C194" s="120" t="s">
        <v>508</v>
      </c>
      <c r="D194" s="120"/>
      <c r="E194" s="122" t="s">
        <v>21</v>
      </c>
      <c r="F194" s="104"/>
      <c r="G194" s="111">
        <v>7200</v>
      </c>
    </row>
    <row r="195" ht="49" customHeight="1" spans="1:7">
      <c r="A195" s="108">
        <v>86</v>
      </c>
      <c r="B195" s="109" t="s">
        <v>509</v>
      </c>
      <c r="C195" s="110" t="s">
        <v>510</v>
      </c>
      <c r="D195" s="121" t="s">
        <v>511</v>
      </c>
      <c r="E195" s="111" t="s">
        <v>21</v>
      </c>
      <c r="F195" s="110"/>
      <c r="G195" s="111">
        <v>7510</v>
      </c>
    </row>
    <row r="196" ht="49" customHeight="1" spans="1:7">
      <c r="A196" s="112"/>
      <c r="B196" s="109" t="s">
        <v>512</v>
      </c>
      <c r="C196" s="110" t="s">
        <v>513</v>
      </c>
      <c r="D196" s="110"/>
      <c r="E196" s="111" t="s">
        <v>21</v>
      </c>
      <c r="F196" s="110"/>
      <c r="G196" s="111">
        <f t="shared" ref="G196:G200" si="11">G195*0.2</f>
        <v>1502</v>
      </c>
    </row>
    <row r="197" ht="56" customHeight="1" spans="1:7">
      <c r="A197" s="108">
        <v>87</v>
      </c>
      <c r="B197" s="109" t="s">
        <v>514</v>
      </c>
      <c r="C197" s="110" t="s">
        <v>515</v>
      </c>
      <c r="D197" s="121" t="s">
        <v>516</v>
      </c>
      <c r="E197" s="111" t="s">
        <v>21</v>
      </c>
      <c r="F197" s="110"/>
      <c r="G197" s="111">
        <v>4100</v>
      </c>
    </row>
    <row r="198" ht="49" customHeight="1" spans="1:7">
      <c r="A198" s="112"/>
      <c r="B198" s="109" t="s">
        <v>517</v>
      </c>
      <c r="C198" s="110" t="s">
        <v>518</v>
      </c>
      <c r="D198" s="121"/>
      <c r="E198" s="111" t="s">
        <v>21</v>
      </c>
      <c r="F198" s="121"/>
      <c r="G198" s="122">
        <f t="shared" si="11"/>
        <v>820</v>
      </c>
    </row>
    <row r="199" ht="65" customHeight="1" spans="1:7">
      <c r="A199" s="108">
        <v>88</v>
      </c>
      <c r="B199" s="109" t="s">
        <v>519</v>
      </c>
      <c r="C199" s="121" t="s">
        <v>520</v>
      </c>
      <c r="D199" s="121" t="s">
        <v>521</v>
      </c>
      <c r="E199" s="111" t="s">
        <v>21</v>
      </c>
      <c r="F199" s="121"/>
      <c r="G199" s="122">
        <v>7000</v>
      </c>
    </row>
    <row r="200" ht="55" customHeight="1" spans="1:7">
      <c r="A200" s="112"/>
      <c r="B200" s="109" t="s">
        <v>522</v>
      </c>
      <c r="C200" s="121" t="s">
        <v>523</v>
      </c>
      <c r="D200" s="110"/>
      <c r="E200" s="111" t="s">
        <v>21</v>
      </c>
      <c r="F200" s="110"/>
      <c r="G200" s="111">
        <f t="shared" si="11"/>
        <v>1400</v>
      </c>
    </row>
    <row r="201" ht="56" customHeight="1" spans="1:7">
      <c r="A201" s="108">
        <v>89</v>
      </c>
      <c r="B201" s="109" t="s">
        <v>524</v>
      </c>
      <c r="C201" s="121" t="s">
        <v>525</v>
      </c>
      <c r="D201" s="121" t="s">
        <v>526</v>
      </c>
      <c r="E201" s="122" t="s">
        <v>21</v>
      </c>
      <c r="F201" s="121"/>
      <c r="G201" s="122">
        <v>7000</v>
      </c>
    </row>
    <row r="202" ht="56" customHeight="1" spans="1:7">
      <c r="A202" s="112"/>
      <c r="B202" s="109" t="s">
        <v>527</v>
      </c>
      <c r="C202" s="121" t="s">
        <v>528</v>
      </c>
      <c r="D202" s="110"/>
      <c r="E202" s="122" t="s">
        <v>21</v>
      </c>
      <c r="F202" s="110"/>
      <c r="G202" s="111">
        <f t="shared" ref="G202:G207" si="12">G201*0.2</f>
        <v>1400</v>
      </c>
    </row>
    <row r="203" ht="56" customHeight="1" spans="1:7">
      <c r="A203" s="122">
        <v>90</v>
      </c>
      <c r="B203" s="109" t="s">
        <v>529</v>
      </c>
      <c r="C203" s="120" t="s">
        <v>530</v>
      </c>
      <c r="D203" s="121" t="s">
        <v>531</v>
      </c>
      <c r="E203" s="122" t="s">
        <v>21</v>
      </c>
      <c r="F203" s="104"/>
      <c r="G203" s="122">
        <v>6000</v>
      </c>
    </row>
    <row r="204" ht="56" customHeight="1" spans="1:7">
      <c r="A204" s="111"/>
      <c r="B204" s="109" t="s">
        <v>532</v>
      </c>
      <c r="C204" s="120" t="s">
        <v>533</v>
      </c>
      <c r="D204" s="120"/>
      <c r="E204" s="122" t="s">
        <v>21</v>
      </c>
      <c r="F204" s="104"/>
      <c r="G204" s="111">
        <f t="shared" si="12"/>
        <v>1200</v>
      </c>
    </row>
    <row r="205" ht="56" customHeight="1" spans="1:7">
      <c r="A205" s="122"/>
      <c r="B205" s="109" t="s">
        <v>534</v>
      </c>
      <c r="C205" s="120" t="s">
        <v>535</v>
      </c>
      <c r="D205" s="120"/>
      <c r="E205" s="122" t="s">
        <v>21</v>
      </c>
      <c r="F205" s="104"/>
      <c r="G205" s="122">
        <f>G203</f>
        <v>6000</v>
      </c>
    </row>
    <row r="206" ht="56" customHeight="1" spans="1:7">
      <c r="A206" s="119">
        <v>91</v>
      </c>
      <c r="B206" s="109" t="s">
        <v>536</v>
      </c>
      <c r="C206" s="121" t="s">
        <v>537</v>
      </c>
      <c r="D206" s="121" t="s">
        <v>538</v>
      </c>
      <c r="E206" s="122" t="s">
        <v>21</v>
      </c>
      <c r="F206" s="121"/>
      <c r="G206" s="122">
        <v>8500</v>
      </c>
    </row>
    <row r="207" ht="42" customHeight="1" spans="1:7">
      <c r="A207" s="126"/>
      <c r="B207" s="109" t="s">
        <v>539</v>
      </c>
      <c r="C207" s="121" t="s">
        <v>540</v>
      </c>
      <c r="D207" s="121"/>
      <c r="E207" s="122" t="s">
        <v>21</v>
      </c>
      <c r="F207" s="121"/>
      <c r="G207" s="122">
        <f t="shared" si="12"/>
        <v>1700</v>
      </c>
    </row>
    <row r="208" ht="56" customHeight="1" spans="1:7">
      <c r="A208" s="119">
        <v>92</v>
      </c>
      <c r="B208" s="109" t="s">
        <v>541</v>
      </c>
      <c r="C208" s="121" t="s">
        <v>542</v>
      </c>
      <c r="D208" s="121" t="s">
        <v>543</v>
      </c>
      <c r="E208" s="122" t="s">
        <v>21</v>
      </c>
      <c r="F208" s="121"/>
      <c r="G208" s="122">
        <v>7880</v>
      </c>
    </row>
    <row r="209" ht="45" customHeight="1" spans="1:7">
      <c r="A209" s="126"/>
      <c r="B209" s="109" t="s">
        <v>544</v>
      </c>
      <c r="C209" s="121" t="s">
        <v>545</v>
      </c>
      <c r="D209" s="121"/>
      <c r="E209" s="122" t="s">
        <v>21</v>
      </c>
      <c r="F209" s="121"/>
      <c r="G209" s="122">
        <f t="shared" ref="G209:G213" si="13">G208*0.2</f>
        <v>1576</v>
      </c>
    </row>
    <row r="210" ht="58" customHeight="1" spans="1:7">
      <c r="A210" s="119">
        <v>93</v>
      </c>
      <c r="B210" s="109" t="s">
        <v>546</v>
      </c>
      <c r="C210" s="121" t="s">
        <v>547</v>
      </c>
      <c r="D210" s="121" t="s">
        <v>548</v>
      </c>
      <c r="E210" s="122" t="s">
        <v>21</v>
      </c>
      <c r="F210" s="121"/>
      <c r="G210" s="122">
        <v>6500</v>
      </c>
    </row>
    <row r="211" ht="39" customHeight="1" spans="1:7">
      <c r="A211" s="126"/>
      <c r="B211" s="109" t="s">
        <v>549</v>
      </c>
      <c r="C211" s="121" t="s">
        <v>550</v>
      </c>
      <c r="D211" s="121"/>
      <c r="E211" s="122" t="s">
        <v>21</v>
      </c>
      <c r="F211" s="121"/>
      <c r="G211" s="122">
        <f t="shared" si="13"/>
        <v>1300</v>
      </c>
    </row>
    <row r="212" ht="58" customHeight="1" spans="1:7">
      <c r="A212" s="119">
        <v>94</v>
      </c>
      <c r="B212" s="109" t="s">
        <v>551</v>
      </c>
      <c r="C212" s="121" t="s">
        <v>552</v>
      </c>
      <c r="D212" s="121" t="s">
        <v>553</v>
      </c>
      <c r="E212" s="122" t="s">
        <v>21</v>
      </c>
      <c r="F212" s="121"/>
      <c r="G212" s="122">
        <v>7400</v>
      </c>
    </row>
    <row r="213" ht="42" customHeight="1" spans="1:7">
      <c r="A213" s="126"/>
      <c r="B213" s="109" t="s">
        <v>554</v>
      </c>
      <c r="C213" s="121" t="s">
        <v>555</v>
      </c>
      <c r="D213" s="121"/>
      <c r="E213" s="122" t="s">
        <v>21</v>
      </c>
      <c r="F213" s="110"/>
      <c r="G213" s="111">
        <f t="shared" si="13"/>
        <v>1480</v>
      </c>
    </row>
    <row r="214" ht="58" customHeight="1" spans="1:7">
      <c r="A214" s="119">
        <v>95</v>
      </c>
      <c r="B214" s="109" t="s">
        <v>556</v>
      </c>
      <c r="C214" s="120" t="s">
        <v>557</v>
      </c>
      <c r="D214" s="121" t="s">
        <v>558</v>
      </c>
      <c r="E214" s="122" t="s">
        <v>21</v>
      </c>
      <c r="F214" s="104"/>
      <c r="G214" s="111">
        <v>7400</v>
      </c>
    </row>
    <row r="215" ht="58" customHeight="1" spans="1:7">
      <c r="A215" s="124"/>
      <c r="B215" s="109" t="s">
        <v>559</v>
      </c>
      <c r="C215" s="120" t="s">
        <v>560</v>
      </c>
      <c r="D215" s="121"/>
      <c r="E215" s="122" t="s">
        <v>21</v>
      </c>
      <c r="F215" s="104"/>
      <c r="G215" s="111">
        <f>G214*0.2</f>
        <v>1480</v>
      </c>
    </row>
    <row r="216" ht="58" customHeight="1" spans="1:7">
      <c r="A216" s="126"/>
      <c r="B216" s="109" t="s">
        <v>561</v>
      </c>
      <c r="C216" s="120" t="s">
        <v>562</v>
      </c>
      <c r="D216" s="121"/>
      <c r="E216" s="122" t="s">
        <v>21</v>
      </c>
      <c r="F216" s="104"/>
      <c r="G216" s="111">
        <f>G214*0.3</f>
        <v>2220</v>
      </c>
    </row>
    <row r="217" ht="49" customHeight="1" spans="1:7">
      <c r="A217" s="119">
        <v>96</v>
      </c>
      <c r="B217" s="109" t="s">
        <v>563</v>
      </c>
      <c r="C217" s="120" t="s">
        <v>564</v>
      </c>
      <c r="D217" s="121" t="s">
        <v>565</v>
      </c>
      <c r="E217" s="122" t="s">
        <v>21</v>
      </c>
      <c r="F217" s="104"/>
      <c r="G217" s="111">
        <v>6300</v>
      </c>
    </row>
    <row r="218" ht="55" customHeight="1" spans="1:7">
      <c r="A218" s="124"/>
      <c r="B218" s="109" t="s">
        <v>566</v>
      </c>
      <c r="C218" s="120" t="s">
        <v>567</v>
      </c>
      <c r="D218" s="121"/>
      <c r="E218" s="122" t="s">
        <v>21</v>
      </c>
      <c r="F218" s="104"/>
      <c r="G218" s="111">
        <f t="shared" ref="G218:G223" si="14">G217*0.2</f>
        <v>1260</v>
      </c>
    </row>
    <row r="219" ht="55" customHeight="1" spans="1:7">
      <c r="A219" s="126"/>
      <c r="B219" s="109" t="s">
        <v>568</v>
      </c>
      <c r="C219" s="120" t="s">
        <v>569</v>
      </c>
      <c r="D219" s="121"/>
      <c r="E219" s="122" t="s">
        <v>21</v>
      </c>
      <c r="F219" s="104"/>
      <c r="G219" s="111">
        <f>G217*0.3</f>
        <v>1890</v>
      </c>
    </row>
    <row r="220" ht="49" customHeight="1" spans="1:7">
      <c r="A220" s="119">
        <v>97</v>
      </c>
      <c r="B220" s="109" t="s">
        <v>570</v>
      </c>
      <c r="C220" s="121" t="s">
        <v>571</v>
      </c>
      <c r="D220" s="121" t="s">
        <v>572</v>
      </c>
      <c r="E220" s="122" t="s">
        <v>21</v>
      </c>
      <c r="F220" s="121"/>
      <c r="G220" s="122">
        <v>5650</v>
      </c>
    </row>
    <row r="221" ht="49" customHeight="1" spans="1:7">
      <c r="A221" s="126"/>
      <c r="B221" s="109" t="s">
        <v>573</v>
      </c>
      <c r="C221" s="121" t="s">
        <v>574</v>
      </c>
      <c r="D221" s="121"/>
      <c r="E221" s="122" t="s">
        <v>21</v>
      </c>
      <c r="F221" s="121"/>
      <c r="G221" s="122">
        <f t="shared" si="14"/>
        <v>1130</v>
      </c>
    </row>
    <row r="222" ht="54" customHeight="1" spans="1:7">
      <c r="A222" s="119">
        <v>98</v>
      </c>
      <c r="B222" s="109" t="s">
        <v>575</v>
      </c>
      <c r="C222" s="120" t="s">
        <v>576</v>
      </c>
      <c r="D222" s="121" t="s">
        <v>577</v>
      </c>
      <c r="E222" s="122" t="s">
        <v>21</v>
      </c>
      <c r="F222" s="120"/>
      <c r="G222" s="122">
        <v>8200</v>
      </c>
    </row>
    <row r="223" ht="54" customHeight="1" spans="1:7">
      <c r="A223" s="124"/>
      <c r="B223" s="109" t="s">
        <v>578</v>
      </c>
      <c r="C223" s="120" t="s">
        <v>579</v>
      </c>
      <c r="D223" s="121"/>
      <c r="E223" s="122" t="s">
        <v>21</v>
      </c>
      <c r="F223" s="120"/>
      <c r="G223" s="122">
        <f t="shared" si="14"/>
        <v>1640</v>
      </c>
    </row>
    <row r="224" ht="54" customHeight="1" spans="1:7">
      <c r="A224" s="124"/>
      <c r="B224" s="109" t="s">
        <v>580</v>
      </c>
      <c r="C224" s="120" t="s">
        <v>581</v>
      </c>
      <c r="D224" s="121"/>
      <c r="E224" s="122" t="s">
        <v>21</v>
      </c>
      <c r="F224" s="120"/>
      <c r="G224" s="122">
        <f>G222*0.3</f>
        <v>2460</v>
      </c>
    </row>
    <row r="225" ht="54" customHeight="1" spans="1:7">
      <c r="A225" s="126"/>
      <c r="B225" s="109" t="s">
        <v>582</v>
      </c>
      <c r="C225" s="120" t="s">
        <v>583</v>
      </c>
      <c r="D225" s="121"/>
      <c r="E225" s="122" t="s">
        <v>21</v>
      </c>
      <c r="F225" s="120"/>
      <c r="G225" s="122">
        <f>G222*0.3</f>
        <v>2460</v>
      </c>
    </row>
    <row r="226" ht="54" customHeight="1" spans="1:7">
      <c r="A226" s="119">
        <v>99</v>
      </c>
      <c r="B226" s="109" t="s">
        <v>584</v>
      </c>
      <c r="C226" s="121" t="s">
        <v>585</v>
      </c>
      <c r="D226" s="121" t="s">
        <v>586</v>
      </c>
      <c r="E226" s="122" t="s">
        <v>21</v>
      </c>
      <c r="F226" s="121"/>
      <c r="G226" s="122">
        <v>8330</v>
      </c>
    </row>
    <row r="227" ht="54" customHeight="1" spans="1:7">
      <c r="A227" s="126"/>
      <c r="B227" s="109" t="s">
        <v>587</v>
      </c>
      <c r="C227" s="121" t="s">
        <v>588</v>
      </c>
      <c r="D227" s="121"/>
      <c r="E227" s="122" t="s">
        <v>21</v>
      </c>
      <c r="F227" s="121"/>
      <c r="G227" s="122">
        <f>G226*0.2</f>
        <v>1666</v>
      </c>
    </row>
    <row r="228" ht="54" customHeight="1" spans="1:7">
      <c r="A228" s="119">
        <v>100</v>
      </c>
      <c r="B228" s="109" t="s">
        <v>589</v>
      </c>
      <c r="C228" s="120" t="s">
        <v>590</v>
      </c>
      <c r="D228" s="121" t="s">
        <v>591</v>
      </c>
      <c r="E228" s="122" t="s">
        <v>21</v>
      </c>
      <c r="F228" s="120"/>
      <c r="G228" s="122">
        <v>6500</v>
      </c>
    </row>
    <row r="229" ht="54" customHeight="1" spans="1:7">
      <c r="A229" s="124"/>
      <c r="B229" s="109" t="s">
        <v>592</v>
      </c>
      <c r="C229" s="120" t="s">
        <v>593</v>
      </c>
      <c r="D229" s="121"/>
      <c r="E229" s="122" t="s">
        <v>21</v>
      </c>
      <c r="F229" s="120"/>
      <c r="G229" s="122">
        <f>G228*0.2</f>
        <v>1300</v>
      </c>
    </row>
    <row r="230" ht="54" customHeight="1" spans="1:7">
      <c r="A230" s="124"/>
      <c r="B230" s="109" t="s">
        <v>594</v>
      </c>
      <c r="C230" s="120" t="s">
        <v>595</v>
      </c>
      <c r="D230" s="120"/>
      <c r="E230" s="122" t="s">
        <v>21</v>
      </c>
      <c r="F230" s="120"/>
      <c r="G230" s="122">
        <f>G228*0.3</f>
        <v>1950</v>
      </c>
    </row>
    <row r="231" s="97" customFormat="1" ht="54" customHeight="1" spans="1:7">
      <c r="A231" s="126"/>
      <c r="B231" s="137" t="s">
        <v>596</v>
      </c>
      <c r="C231" s="138" t="s">
        <v>597</v>
      </c>
      <c r="D231" s="120"/>
      <c r="E231" s="122" t="s">
        <v>21</v>
      </c>
      <c r="F231" s="120"/>
      <c r="G231" s="122">
        <f>G228*0.3</f>
        <v>1950</v>
      </c>
    </row>
    <row r="232" ht="54" customHeight="1" spans="1:7">
      <c r="A232" s="119">
        <v>101</v>
      </c>
      <c r="B232" s="109" t="s">
        <v>598</v>
      </c>
      <c r="C232" s="121" t="s">
        <v>599</v>
      </c>
      <c r="D232" s="121" t="s">
        <v>600</v>
      </c>
      <c r="E232" s="122" t="s">
        <v>21</v>
      </c>
      <c r="F232" s="121"/>
      <c r="G232" s="122">
        <v>6110</v>
      </c>
    </row>
    <row r="233" ht="48" customHeight="1" spans="1:7">
      <c r="A233" s="126"/>
      <c r="B233" s="109" t="s">
        <v>601</v>
      </c>
      <c r="C233" s="121" t="s">
        <v>602</v>
      </c>
      <c r="D233" s="121"/>
      <c r="E233" s="122" t="s">
        <v>21</v>
      </c>
      <c r="F233" s="121"/>
      <c r="G233" s="122">
        <f t="shared" ref="G233:G237" si="15">G232*0.2</f>
        <v>1222</v>
      </c>
    </row>
    <row r="234" ht="51" customHeight="1" spans="1:7">
      <c r="A234" s="119">
        <v>102</v>
      </c>
      <c r="B234" s="109" t="s">
        <v>603</v>
      </c>
      <c r="C234" s="121" t="s">
        <v>604</v>
      </c>
      <c r="D234" s="121" t="s">
        <v>605</v>
      </c>
      <c r="E234" s="122" t="s">
        <v>21</v>
      </c>
      <c r="F234" s="121"/>
      <c r="G234" s="122">
        <v>6040</v>
      </c>
    </row>
    <row r="235" ht="44" customHeight="1" spans="1:7">
      <c r="A235" s="126"/>
      <c r="B235" s="109" t="s">
        <v>606</v>
      </c>
      <c r="C235" s="121" t="s">
        <v>607</v>
      </c>
      <c r="D235" s="121"/>
      <c r="E235" s="122" t="s">
        <v>21</v>
      </c>
      <c r="F235" s="121"/>
      <c r="G235" s="122">
        <f t="shared" si="15"/>
        <v>1208</v>
      </c>
    </row>
    <row r="236" ht="51" customHeight="1" spans="1:7">
      <c r="A236" s="119">
        <v>103</v>
      </c>
      <c r="B236" s="109" t="s">
        <v>608</v>
      </c>
      <c r="C236" s="121" t="s">
        <v>609</v>
      </c>
      <c r="D236" s="121" t="s">
        <v>610</v>
      </c>
      <c r="E236" s="122" t="s">
        <v>21</v>
      </c>
      <c r="F236" s="121"/>
      <c r="G236" s="122">
        <v>5590</v>
      </c>
    </row>
    <row r="237" ht="51" customHeight="1" spans="1:7">
      <c r="A237" s="126"/>
      <c r="B237" s="109" t="s">
        <v>611</v>
      </c>
      <c r="C237" s="121" t="s">
        <v>612</v>
      </c>
      <c r="D237" s="121"/>
      <c r="E237" s="122" t="s">
        <v>21</v>
      </c>
      <c r="F237" s="121"/>
      <c r="G237" s="122">
        <f t="shared" si="15"/>
        <v>1118</v>
      </c>
    </row>
    <row r="238" ht="51" customHeight="1" spans="1:7">
      <c r="A238" s="119">
        <v>104</v>
      </c>
      <c r="B238" s="109" t="s">
        <v>613</v>
      </c>
      <c r="C238" s="121" t="s">
        <v>614</v>
      </c>
      <c r="D238" s="121" t="s">
        <v>615</v>
      </c>
      <c r="E238" s="122" t="s">
        <v>21</v>
      </c>
      <c r="F238" s="121"/>
      <c r="G238" s="122">
        <v>7240</v>
      </c>
    </row>
    <row r="239" ht="51" customHeight="1" spans="1:7">
      <c r="A239" s="126"/>
      <c r="B239" s="109" t="s">
        <v>616</v>
      </c>
      <c r="C239" s="121" t="s">
        <v>617</v>
      </c>
      <c r="D239" s="121"/>
      <c r="E239" s="122" t="s">
        <v>21</v>
      </c>
      <c r="F239" s="110"/>
      <c r="G239" s="111">
        <f t="shared" ref="G239:G244" si="16">G238*0.2</f>
        <v>1448</v>
      </c>
    </row>
    <row r="240" ht="52" customHeight="1" spans="1:7">
      <c r="A240" s="119">
        <v>105</v>
      </c>
      <c r="B240" s="109" t="s">
        <v>618</v>
      </c>
      <c r="C240" s="120" t="s">
        <v>619</v>
      </c>
      <c r="D240" s="121" t="s">
        <v>620</v>
      </c>
      <c r="E240" s="122" t="s">
        <v>21</v>
      </c>
      <c r="F240" s="104"/>
      <c r="G240" s="111">
        <v>7460</v>
      </c>
    </row>
    <row r="241" ht="50" customHeight="1" spans="1:7">
      <c r="A241" s="124"/>
      <c r="B241" s="109" t="s">
        <v>621</v>
      </c>
      <c r="C241" s="120" t="s">
        <v>622</v>
      </c>
      <c r="D241" s="120"/>
      <c r="E241" s="122" t="s">
        <v>21</v>
      </c>
      <c r="F241" s="104"/>
      <c r="G241" s="111">
        <f t="shared" si="16"/>
        <v>1492</v>
      </c>
    </row>
    <row r="242" ht="49" customHeight="1" spans="1:7">
      <c r="A242" s="126"/>
      <c r="B242" s="109" t="s">
        <v>623</v>
      </c>
      <c r="C242" s="120" t="s">
        <v>624</v>
      </c>
      <c r="D242" s="120"/>
      <c r="E242" s="122" t="s">
        <v>21</v>
      </c>
      <c r="F242" s="104"/>
      <c r="G242" s="111">
        <v>1980</v>
      </c>
    </row>
    <row r="243" ht="53" customHeight="1" spans="1:7">
      <c r="A243" s="119">
        <v>106</v>
      </c>
      <c r="B243" s="109" t="s">
        <v>625</v>
      </c>
      <c r="C243" s="121" t="s">
        <v>626</v>
      </c>
      <c r="D243" s="121" t="s">
        <v>627</v>
      </c>
      <c r="E243" s="122" t="s">
        <v>21</v>
      </c>
      <c r="F243" s="121"/>
      <c r="G243" s="122">
        <v>7940</v>
      </c>
    </row>
    <row r="244" ht="55" customHeight="1" spans="1:7">
      <c r="A244" s="126"/>
      <c r="B244" s="109" t="s">
        <v>628</v>
      </c>
      <c r="C244" s="121" t="s">
        <v>629</v>
      </c>
      <c r="D244" s="121"/>
      <c r="E244" s="122" t="s">
        <v>21</v>
      </c>
      <c r="F244" s="121"/>
      <c r="G244" s="122">
        <f t="shared" si="16"/>
        <v>1588</v>
      </c>
    </row>
    <row r="245" ht="61" customHeight="1" spans="1:7">
      <c r="A245" s="119">
        <v>107</v>
      </c>
      <c r="B245" s="109" t="s">
        <v>630</v>
      </c>
      <c r="C245" s="120" t="s">
        <v>631</v>
      </c>
      <c r="D245" s="121" t="s">
        <v>632</v>
      </c>
      <c r="E245" s="122" t="s">
        <v>21</v>
      </c>
      <c r="F245" s="120"/>
      <c r="G245" s="122">
        <v>10900</v>
      </c>
    </row>
    <row r="246" ht="49" customHeight="1" spans="1:7">
      <c r="A246" s="124"/>
      <c r="B246" s="109" t="s">
        <v>633</v>
      </c>
      <c r="C246" s="120" t="s">
        <v>634</v>
      </c>
      <c r="D246" s="120"/>
      <c r="E246" s="122" t="s">
        <v>21</v>
      </c>
      <c r="F246" s="120"/>
      <c r="G246" s="122">
        <f t="shared" ref="G246:G251" si="17">G245*0.2</f>
        <v>2180</v>
      </c>
    </row>
    <row r="247" ht="49" customHeight="1" spans="1:7">
      <c r="A247" s="126"/>
      <c r="B247" s="109" t="s">
        <v>635</v>
      </c>
      <c r="C247" s="120" t="s">
        <v>636</v>
      </c>
      <c r="D247" s="120"/>
      <c r="E247" s="122" t="s">
        <v>21</v>
      </c>
      <c r="F247" s="120"/>
      <c r="G247" s="122">
        <f>G245*0.3</f>
        <v>3270</v>
      </c>
    </row>
    <row r="248" ht="60" customHeight="1" spans="1:7">
      <c r="A248" s="119">
        <v>108</v>
      </c>
      <c r="B248" s="109" t="s">
        <v>637</v>
      </c>
      <c r="C248" s="121" t="s">
        <v>638</v>
      </c>
      <c r="D248" s="121" t="s">
        <v>639</v>
      </c>
      <c r="E248" s="122" t="s">
        <v>21</v>
      </c>
      <c r="F248" s="121"/>
      <c r="G248" s="122">
        <v>5640</v>
      </c>
    </row>
    <row r="249" ht="50" customHeight="1" spans="1:7">
      <c r="A249" s="126"/>
      <c r="B249" s="109" t="s">
        <v>640</v>
      </c>
      <c r="C249" s="121" t="s">
        <v>641</v>
      </c>
      <c r="D249" s="121"/>
      <c r="E249" s="122" t="s">
        <v>21</v>
      </c>
      <c r="F249" s="121"/>
      <c r="G249" s="122">
        <f t="shared" si="17"/>
        <v>1128</v>
      </c>
    </row>
    <row r="250" ht="52" customHeight="1" spans="1:7">
      <c r="A250" s="119">
        <v>109</v>
      </c>
      <c r="B250" s="109" t="s">
        <v>642</v>
      </c>
      <c r="C250" s="120" t="s">
        <v>643</v>
      </c>
      <c r="D250" s="121" t="s">
        <v>644</v>
      </c>
      <c r="E250" s="122" t="s">
        <v>21</v>
      </c>
      <c r="F250" s="120"/>
      <c r="G250" s="122">
        <v>8400</v>
      </c>
    </row>
    <row r="251" ht="52" customHeight="1" spans="1:7">
      <c r="A251" s="124"/>
      <c r="B251" s="109" t="s">
        <v>645</v>
      </c>
      <c r="C251" s="120" t="s">
        <v>646</v>
      </c>
      <c r="D251" s="120"/>
      <c r="E251" s="122" t="s">
        <v>21</v>
      </c>
      <c r="F251" s="120"/>
      <c r="G251" s="122">
        <f t="shared" si="17"/>
        <v>1680</v>
      </c>
    </row>
    <row r="252" ht="52" customHeight="1" spans="1:7">
      <c r="A252" s="126"/>
      <c r="B252" s="109" t="s">
        <v>647</v>
      </c>
      <c r="C252" s="120" t="s">
        <v>648</v>
      </c>
      <c r="D252" s="120"/>
      <c r="E252" s="122" t="s">
        <v>21</v>
      </c>
      <c r="F252" s="120"/>
      <c r="G252" s="122">
        <v>700</v>
      </c>
    </row>
    <row r="253" ht="52" customHeight="1" spans="1:7">
      <c r="A253" s="119">
        <v>110</v>
      </c>
      <c r="B253" s="109" t="s">
        <v>649</v>
      </c>
      <c r="C253" s="120" t="s">
        <v>650</v>
      </c>
      <c r="D253" s="121" t="s">
        <v>651</v>
      </c>
      <c r="E253" s="122" t="s">
        <v>21</v>
      </c>
      <c r="F253" s="120"/>
      <c r="G253" s="122">
        <v>7600</v>
      </c>
    </row>
    <row r="254" ht="45" customHeight="1" spans="1:7">
      <c r="A254" s="124"/>
      <c r="B254" s="109" t="s">
        <v>652</v>
      </c>
      <c r="C254" s="120" t="s">
        <v>653</v>
      </c>
      <c r="D254" s="121"/>
      <c r="E254" s="122" t="s">
        <v>21</v>
      </c>
      <c r="F254" s="120"/>
      <c r="G254" s="122">
        <f>G253*0.2</f>
        <v>1520</v>
      </c>
    </row>
    <row r="255" ht="45" customHeight="1" spans="1:7">
      <c r="A255" s="124"/>
      <c r="B255" s="109" t="s">
        <v>654</v>
      </c>
      <c r="C255" s="120" t="s">
        <v>655</v>
      </c>
      <c r="D255" s="121"/>
      <c r="E255" s="122" t="s">
        <v>21</v>
      </c>
      <c r="F255" s="120"/>
      <c r="G255" s="122">
        <f>G253</f>
        <v>7600</v>
      </c>
    </row>
    <row r="256" s="97" customFormat="1" ht="45" customHeight="1" spans="1:7">
      <c r="A256" s="126"/>
      <c r="B256" s="139" t="s">
        <v>656</v>
      </c>
      <c r="C256" s="120" t="s">
        <v>657</v>
      </c>
      <c r="D256" s="121"/>
      <c r="E256" s="122" t="s">
        <v>21</v>
      </c>
      <c r="F256" s="120"/>
      <c r="G256" s="122">
        <f>G253</f>
        <v>7600</v>
      </c>
    </row>
    <row r="257" ht="59" customHeight="1" spans="1:7">
      <c r="A257" s="119">
        <v>111</v>
      </c>
      <c r="B257" s="109" t="s">
        <v>658</v>
      </c>
      <c r="C257" s="121" t="s">
        <v>659</v>
      </c>
      <c r="D257" s="121" t="s">
        <v>660</v>
      </c>
      <c r="E257" s="122" t="s">
        <v>21</v>
      </c>
      <c r="F257" s="121"/>
      <c r="G257" s="140">
        <v>20000</v>
      </c>
    </row>
    <row r="258" ht="51" customHeight="1" spans="1:7">
      <c r="A258" s="126"/>
      <c r="B258" s="109" t="s">
        <v>661</v>
      </c>
      <c r="C258" s="121" t="s">
        <v>662</v>
      </c>
      <c r="D258" s="110"/>
      <c r="E258" s="122" t="s">
        <v>21</v>
      </c>
      <c r="F258" s="110"/>
      <c r="G258" s="111">
        <f t="shared" ref="G258:G262" si="18">G257*0.2</f>
        <v>4000</v>
      </c>
    </row>
    <row r="259" ht="59" customHeight="1" spans="1:7">
      <c r="A259" s="119">
        <v>112</v>
      </c>
      <c r="B259" s="109" t="s">
        <v>663</v>
      </c>
      <c r="C259" s="121" t="s">
        <v>664</v>
      </c>
      <c r="D259" s="121" t="s">
        <v>665</v>
      </c>
      <c r="E259" s="122" t="s">
        <v>21</v>
      </c>
      <c r="F259" s="121"/>
      <c r="G259" s="122">
        <v>7200</v>
      </c>
    </row>
    <row r="260" ht="50" customHeight="1" spans="1:7">
      <c r="A260" s="126"/>
      <c r="B260" s="109" t="s">
        <v>666</v>
      </c>
      <c r="C260" s="121" t="s">
        <v>667</v>
      </c>
      <c r="D260" s="121"/>
      <c r="E260" s="122" t="s">
        <v>21</v>
      </c>
      <c r="F260" s="121"/>
      <c r="G260" s="122">
        <f t="shared" si="18"/>
        <v>1440</v>
      </c>
    </row>
    <row r="261" ht="59" customHeight="1" spans="1:7">
      <c r="A261" s="119">
        <v>113</v>
      </c>
      <c r="B261" s="109" t="s">
        <v>668</v>
      </c>
      <c r="C261" s="121" t="s">
        <v>669</v>
      </c>
      <c r="D261" s="121" t="s">
        <v>670</v>
      </c>
      <c r="E261" s="122" t="s">
        <v>21</v>
      </c>
      <c r="F261" s="121"/>
      <c r="G261" s="122">
        <v>5830</v>
      </c>
    </row>
    <row r="262" ht="45" customHeight="1" spans="1:7">
      <c r="A262" s="126"/>
      <c r="B262" s="109" t="s">
        <v>671</v>
      </c>
      <c r="C262" s="121" t="s">
        <v>672</v>
      </c>
      <c r="D262" s="121"/>
      <c r="E262" s="122" t="s">
        <v>21</v>
      </c>
      <c r="F262" s="121"/>
      <c r="G262" s="122">
        <f t="shared" si="18"/>
        <v>1166</v>
      </c>
    </row>
    <row r="263" ht="59" customHeight="1" spans="1:7">
      <c r="A263" s="119">
        <v>114</v>
      </c>
      <c r="B263" s="109" t="s">
        <v>673</v>
      </c>
      <c r="C263" s="121" t="s">
        <v>674</v>
      </c>
      <c r="D263" s="121" t="s">
        <v>675</v>
      </c>
      <c r="E263" s="122" t="s">
        <v>21</v>
      </c>
      <c r="F263" s="121"/>
      <c r="G263" s="122">
        <v>7880</v>
      </c>
    </row>
    <row r="264" ht="59" customHeight="1" spans="1:7">
      <c r="A264" s="126"/>
      <c r="B264" s="109" t="s">
        <v>676</v>
      </c>
      <c r="C264" s="121" t="s">
        <v>677</v>
      </c>
      <c r="D264" s="121"/>
      <c r="E264" s="122" t="s">
        <v>21</v>
      </c>
      <c r="F264" s="121"/>
      <c r="G264" s="122">
        <f t="shared" ref="G264:G268" si="19">G263*0.2</f>
        <v>1576</v>
      </c>
    </row>
    <row r="265" ht="59" customHeight="1" spans="1:7">
      <c r="A265" s="119">
        <v>115</v>
      </c>
      <c r="B265" s="109" t="s">
        <v>678</v>
      </c>
      <c r="C265" s="121" t="s">
        <v>679</v>
      </c>
      <c r="D265" s="121" t="s">
        <v>680</v>
      </c>
      <c r="E265" s="122" t="s">
        <v>21</v>
      </c>
      <c r="F265" s="121"/>
      <c r="G265" s="122">
        <v>8540</v>
      </c>
    </row>
    <row r="266" ht="59" customHeight="1" spans="1:7">
      <c r="A266" s="126"/>
      <c r="B266" s="109" t="s">
        <v>681</v>
      </c>
      <c r="C266" s="121" t="s">
        <v>682</v>
      </c>
      <c r="D266" s="121"/>
      <c r="E266" s="122" t="s">
        <v>21</v>
      </c>
      <c r="F266" s="121"/>
      <c r="G266" s="122">
        <f t="shared" si="19"/>
        <v>1708</v>
      </c>
    </row>
    <row r="267" ht="55" customHeight="1" spans="1:7">
      <c r="A267" s="119">
        <v>116</v>
      </c>
      <c r="B267" s="109" t="s">
        <v>683</v>
      </c>
      <c r="C267" s="121" t="s">
        <v>684</v>
      </c>
      <c r="D267" s="121" t="s">
        <v>685</v>
      </c>
      <c r="E267" s="122" t="s">
        <v>21</v>
      </c>
      <c r="F267" s="121"/>
      <c r="G267" s="122">
        <v>8140</v>
      </c>
    </row>
    <row r="268" ht="55" customHeight="1" spans="1:7">
      <c r="A268" s="126"/>
      <c r="B268" s="109" t="s">
        <v>686</v>
      </c>
      <c r="C268" s="121" t="s">
        <v>687</v>
      </c>
      <c r="D268" s="121"/>
      <c r="E268" s="122" t="s">
        <v>21</v>
      </c>
      <c r="F268" s="121"/>
      <c r="G268" s="122">
        <f t="shared" si="19"/>
        <v>1628</v>
      </c>
    </row>
    <row r="269" ht="55" customHeight="1" spans="1:7">
      <c r="A269" s="119">
        <v>117</v>
      </c>
      <c r="B269" s="109" t="s">
        <v>688</v>
      </c>
      <c r="C269" s="121" t="s">
        <v>689</v>
      </c>
      <c r="D269" s="121" t="s">
        <v>690</v>
      </c>
      <c r="E269" s="122" t="s">
        <v>21</v>
      </c>
      <c r="F269" s="121"/>
      <c r="G269" s="122">
        <v>8300</v>
      </c>
    </row>
    <row r="270" ht="55" customHeight="1" spans="1:7">
      <c r="A270" s="126"/>
      <c r="B270" s="109" t="s">
        <v>691</v>
      </c>
      <c r="C270" s="121" t="s">
        <v>692</v>
      </c>
      <c r="D270" s="121"/>
      <c r="E270" s="122" t="s">
        <v>21</v>
      </c>
      <c r="F270" s="121"/>
      <c r="G270" s="122">
        <f t="shared" ref="G270:G274" si="20">G269*0.2</f>
        <v>1660</v>
      </c>
    </row>
    <row r="271" ht="55" customHeight="1" spans="1:7">
      <c r="A271" s="119">
        <v>118</v>
      </c>
      <c r="B271" s="109" t="s">
        <v>693</v>
      </c>
      <c r="C271" s="121" t="s">
        <v>694</v>
      </c>
      <c r="D271" s="121" t="s">
        <v>695</v>
      </c>
      <c r="E271" s="122" t="s">
        <v>21</v>
      </c>
      <c r="F271" s="121"/>
      <c r="G271" s="122">
        <v>5620</v>
      </c>
    </row>
    <row r="272" ht="55" customHeight="1" spans="1:7">
      <c r="A272" s="126"/>
      <c r="B272" s="109" t="s">
        <v>696</v>
      </c>
      <c r="C272" s="121" t="s">
        <v>697</v>
      </c>
      <c r="D272" s="121"/>
      <c r="E272" s="122" t="s">
        <v>21</v>
      </c>
      <c r="F272" s="121"/>
      <c r="G272" s="122">
        <f t="shared" si="20"/>
        <v>1124</v>
      </c>
    </row>
    <row r="273" ht="55" customHeight="1" spans="1:7">
      <c r="A273" s="119">
        <v>119</v>
      </c>
      <c r="B273" s="109" t="s">
        <v>698</v>
      </c>
      <c r="C273" s="121" t="s">
        <v>699</v>
      </c>
      <c r="D273" s="121" t="s">
        <v>700</v>
      </c>
      <c r="E273" s="122" t="s">
        <v>21</v>
      </c>
      <c r="F273" s="121"/>
      <c r="G273" s="122">
        <v>4620</v>
      </c>
    </row>
    <row r="274" ht="55" customHeight="1" spans="1:7">
      <c r="A274" s="126"/>
      <c r="B274" s="109" t="s">
        <v>701</v>
      </c>
      <c r="C274" s="121" t="s">
        <v>702</v>
      </c>
      <c r="D274" s="121"/>
      <c r="E274" s="122" t="s">
        <v>21</v>
      </c>
      <c r="F274" s="121"/>
      <c r="G274" s="122">
        <f t="shared" si="20"/>
        <v>924</v>
      </c>
    </row>
    <row r="275" ht="55" customHeight="1" spans="1:7">
      <c r="A275" s="119">
        <v>120</v>
      </c>
      <c r="B275" s="109" t="s">
        <v>703</v>
      </c>
      <c r="C275" s="121" t="s">
        <v>704</v>
      </c>
      <c r="D275" s="121" t="s">
        <v>705</v>
      </c>
      <c r="E275" s="122" t="s">
        <v>21</v>
      </c>
      <c r="F275" s="123" t="s">
        <v>706</v>
      </c>
      <c r="G275" s="122">
        <v>7940</v>
      </c>
    </row>
    <row r="276" ht="49" customHeight="1" spans="1:7">
      <c r="A276" s="126"/>
      <c r="B276" s="109" t="s">
        <v>707</v>
      </c>
      <c r="C276" s="121" t="s">
        <v>708</v>
      </c>
      <c r="D276" s="121"/>
      <c r="E276" s="122" t="s">
        <v>21</v>
      </c>
      <c r="F276" s="127"/>
      <c r="G276" s="122">
        <f t="shared" ref="G276:G280" si="21">G275*0.2</f>
        <v>1588</v>
      </c>
    </row>
    <row r="277" ht="55" customHeight="1" spans="1:7">
      <c r="A277" s="122">
        <v>121</v>
      </c>
      <c r="B277" s="109" t="s">
        <v>709</v>
      </c>
      <c r="C277" s="121" t="s">
        <v>710</v>
      </c>
      <c r="D277" s="121" t="s">
        <v>711</v>
      </c>
      <c r="E277" s="122" t="s">
        <v>21</v>
      </c>
      <c r="F277" s="121"/>
      <c r="G277" s="140">
        <v>6500</v>
      </c>
    </row>
    <row r="278" ht="48" customHeight="1" spans="1:7">
      <c r="A278" s="122"/>
      <c r="B278" s="109" t="s">
        <v>712</v>
      </c>
      <c r="C278" s="121" t="s">
        <v>713</v>
      </c>
      <c r="D278" s="110"/>
      <c r="E278" s="122" t="s">
        <v>21</v>
      </c>
      <c r="F278" s="110"/>
      <c r="G278" s="111">
        <f t="shared" si="21"/>
        <v>1300</v>
      </c>
    </row>
    <row r="279" ht="56" customHeight="1" spans="1:7">
      <c r="A279" s="119">
        <v>122</v>
      </c>
      <c r="B279" s="109" t="s">
        <v>714</v>
      </c>
      <c r="C279" s="120" t="s">
        <v>715</v>
      </c>
      <c r="D279" s="121" t="s">
        <v>716</v>
      </c>
      <c r="E279" s="122" t="s">
        <v>21</v>
      </c>
      <c r="F279" s="120"/>
      <c r="G279" s="122">
        <v>7020</v>
      </c>
    </row>
    <row r="280" ht="48" customHeight="1" spans="1:7">
      <c r="A280" s="124"/>
      <c r="B280" s="109" t="s">
        <v>717</v>
      </c>
      <c r="C280" s="120" t="s">
        <v>718</v>
      </c>
      <c r="D280" s="120"/>
      <c r="E280" s="122" t="s">
        <v>21</v>
      </c>
      <c r="F280" s="120"/>
      <c r="G280" s="122">
        <f t="shared" si="21"/>
        <v>1404</v>
      </c>
    </row>
    <row r="281" s="97" customFormat="1" ht="48" customHeight="1" spans="1:7">
      <c r="A281" s="124"/>
      <c r="B281" s="109" t="s">
        <v>719</v>
      </c>
      <c r="C281" s="120" t="s">
        <v>720</v>
      </c>
      <c r="D281" s="120"/>
      <c r="E281" s="122" t="s">
        <v>21</v>
      </c>
      <c r="F281" s="120"/>
      <c r="G281" s="122">
        <v>920</v>
      </c>
    </row>
    <row r="282" s="97" customFormat="1" ht="48" customHeight="1" spans="1:7">
      <c r="A282" s="126"/>
      <c r="B282" s="109" t="s">
        <v>721</v>
      </c>
      <c r="C282" s="120" t="s">
        <v>722</v>
      </c>
      <c r="D282" s="120"/>
      <c r="E282" s="122" t="s">
        <v>21</v>
      </c>
      <c r="F282" s="120"/>
      <c r="G282" s="122">
        <v>920</v>
      </c>
    </row>
    <row r="283" ht="56" customHeight="1" spans="1:7">
      <c r="A283" s="119">
        <v>123</v>
      </c>
      <c r="B283" s="109" t="s">
        <v>723</v>
      </c>
      <c r="C283" s="121" t="s">
        <v>724</v>
      </c>
      <c r="D283" s="121" t="s">
        <v>725</v>
      </c>
      <c r="E283" s="122" t="s">
        <v>21</v>
      </c>
      <c r="F283" s="121"/>
      <c r="G283" s="122">
        <v>5000</v>
      </c>
    </row>
    <row r="284" ht="48" customHeight="1" spans="1:7">
      <c r="A284" s="126"/>
      <c r="B284" s="109" t="s">
        <v>726</v>
      </c>
      <c r="C284" s="121" t="s">
        <v>727</v>
      </c>
      <c r="D284" s="110"/>
      <c r="E284" s="122" t="s">
        <v>21</v>
      </c>
      <c r="F284" s="110"/>
      <c r="G284" s="111">
        <f t="shared" ref="G284:G289" si="22">G283*0.2</f>
        <v>1000</v>
      </c>
    </row>
    <row r="285" ht="56" customHeight="1" spans="1:7">
      <c r="A285" s="119">
        <v>124</v>
      </c>
      <c r="B285" s="109" t="s">
        <v>728</v>
      </c>
      <c r="C285" s="120" t="s">
        <v>729</v>
      </c>
      <c r="D285" s="121" t="s">
        <v>730</v>
      </c>
      <c r="E285" s="122" t="s">
        <v>21</v>
      </c>
      <c r="F285" s="123" t="s">
        <v>731</v>
      </c>
      <c r="G285" s="122">
        <v>7500</v>
      </c>
    </row>
    <row r="286" ht="56" customHeight="1" spans="1:7">
      <c r="A286" s="124"/>
      <c r="B286" s="109" t="s">
        <v>732</v>
      </c>
      <c r="C286" s="120" t="s">
        <v>733</v>
      </c>
      <c r="D286" s="121"/>
      <c r="E286" s="122" t="s">
        <v>21</v>
      </c>
      <c r="F286" s="125"/>
      <c r="G286" s="122">
        <f t="shared" si="22"/>
        <v>1500</v>
      </c>
    </row>
    <row r="287" ht="56" customHeight="1" spans="1:7">
      <c r="A287" s="126"/>
      <c r="B287" s="109" t="s">
        <v>734</v>
      </c>
      <c r="C287" s="120" t="s">
        <v>735</v>
      </c>
      <c r="D287" s="121"/>
      <c r="E287" s="122" t="s">
        <v>21</v>
      </c>
      <c r="F287" s="127"/>
      <c r="G287" s="122">
        <f>G285*0.3</f>
        <v>2250</v>
      </c>
    </row>
    <row r="288" ht="47" customHeight="1" spans="1:7">
      <c r="A288" s="119">
        <v>125</v>
      </c>
      <c r="B288" s="109" t="s">
        <v>736</v>
      </c>
      <c r="C288" s="120" t="s">
        <v>737</v>
      </c>
      <c r="D288" s="121" t="s">
        <v>738</v>
      </c>
      <c r="E288" s="122" t="s">
        <v>21</v>
      </c>
      <c r="F288" s="120"/>
      <c r="G288" s="122">
        <v>7940</v>
      </c>
    </row>
    <row r="289" ht="47" customHeight="1" spans="1:7">
      <c r="A289" s="124"/>
      <c r="B289" s="109" t="s">
        <v>739</v>
      </c>
      <c r="C289" s="120" t="s">
        <v>740</v>
      </c>
      <c r="D289" s="121"/>
      <c r="E289" s="122" t="s">
        <v>21</v>
      </c>
      <c r="F289" s="120"/>
      <c r="G289" s="122">
        <f t="shared" si="22"/>
        <v>1588</v>
      </c>
    </row>
    <row r="290" ht="47" customHeight="1" spans="1:7">
      <c r="A290" s="126"/>
      <c r="B290" s="109" t="s">
        <v>741</v>
      </c>
      <c r="C290" s="120" t="s">
        <v>742</v>
      </c>
      <c r="D290" s="121"/>
      <c r="E290" s="122" t="s">
        <v>21</v>
      </c>
      <c r="F290" s="120"/>
      <c r="G290" s="122">
        <f>G288*0.1</f>
        <v>794</v>
      </c>
    </row>
    <row r="291" ht="47" customHeight="1" spans="1:7">
      <c r="A291" s="119">
        <v>126</v>
      </c>
      <c r="B291" s="109" t="s">
        <v>743</v>
      </c>
      <c r="C291" s="121" t="s">
        <v>744</v>
      </c>
      <c r="D291" s="121" t="s">
        <v>745</v>
      </c>
      <c r="E291" s="122" t="s">
        <v>21</v>
      </c>
      <c r="F291" s="121"/>
      <c r="G291" s="122">
        <v>8100</v>
      </c>
    </row>
    <row r="292" ht="47" customHeight="1" spans="1:7">
      <c r="A292" s="126"/>
      <c r="B292" s="109" t="s">
        <v>746</v>
      </c>
      <c r="C292" s="121" t="s">
        <v>747</v>
      </c>
      <c r="D292" s="121"/>
      <c r="E292" s="122" t="s">
        <v>21</v>
      </c>
      <c r="F292" s="121"/>
      <c r="G292" s="122">
        <f t="shared" ref="G292:G296" si="23">G291*0.2</f>
        <v>1620</v>
      </c>
    </row>
    <row r="293" ht="47" customHeight="1" spans="1:7">
      <c r="A293" s="119">
        <v>127</v>
      </c>
      <c r="B293" s="109" t="s">
        <v>748</v>
      </c>
      <c r="C293" s="121" t="s">
        <v>749</v>
      </c>
      <c r="D293" s="121" t="s">
        <v>750</v>
      </c>
      <c r="E293" s="122" t="s">
        <v>21</v>
      </c>
      <c r="F293" s="121"/>
      <c r="G293" s="122">
        <v>5000</v>
      </c>
    </row>
    <row r="294" ht="47" customHeight="1" spans="1:7">
      <c r="A294" s="126"/>
      <c r="B294" s="109" t="s">
        <v>751</v>
      </c>
      <c r="C294" s="121" t="s">
        <v>752</v>
      </c>
      <c r="D294" s="110"/>
      <c r="E294" s="122" t="s">
        <v>21</v>
      </c>
      <c r="F294" s="110"/>
      <c r="G294" s="111">
        <f t="shared" si="23"/>
        <v>1000</v>
      </c>
    </row>
    <row r="295" ht="47" customHeight="1" spans="1:7">
      <c r="A295" s="119">
        <v>128</v>
      </c>
      <c r="B295" s="109" t="s">
        <v>753</v>
      </c>
      <c r="C295" s="121" t="s">
        <v>754</v>
      </c>
      <c r="D295" s="121" t="s">
        <v>755</v>
      </c>
      <c r="E295" s="122" t="s">
        <v>21</v>
      </c>
      <c r="F295" s="123" t="s">
        <v>756</v>
      </c>
      <c r="G295" s="122">
        <v>6050</v>
      </c>
    </row>
    <row r="296" ht="47" customHeight="1" spans="1:7">
      <c r="A296" s="126"/>
      <c r="B296" s="109" t="s">
        <v>757</v>
      </c>
      <c r="C296" s="121" t="s">
        <v>758</v>
      </c>
      <c r="D296" s="121"/>
      <c r="E296" s="122" t="s">
        <v>21</v>
      </c>
      <c r="F296" s="127"/>
      <c r="G296" s="122">
        <f t="shared" si="23"/>
        <v>1210</v>
      </c>
    </row>
    <row r="297" ht="47" customHeight="1" spans="1:7">
      <c r="A297" s="119">
        <v>129</v>
      </c>
      <c r="B297" s="109" t="s">
        <v>759</v>
      </c>
      <c r="C297" s="121" t="s">
        <v>760</v>
      </c>
      <c r="D297" s="121" t="s">
        <v>761</v>
      </c>
      <c r="E297" s="122" t="s">
        <v>21</v>
      </c>
      <c r="F297" s="121"/>
      <c r="G297" s="122">
        <v>6050</v>
      </c>
    </row>
    <row r="298" ht="47" customHeight="1" spans="1:7">
      <c r="A298" s="126"/>
      <c r="B298" s="109" t="s">
        <v>762</v>
      </c>
      <c r="C298" s="121" t="s">
        <v>763</v>
      </c>
      <c r="D298" s="121"/>
      <c r="E298" s="122" t="s">
        <v>21</v>
      </c>
      <c r="F298" s="121"/>
      <c r="G298" s="122">
        <f>G297*0.2</f>
        <v>1210</v>
      </c>
    </row>
  </sheetData>
  <autoFilter xmlns:etc="http://www.wps.cn/officeDocument/2017/etCustomData" ref="A3:G298" etc:filterBottomFollowUsedRange="0">
    <extLst/>
  </autoFilter>
  <mergeCells count="137">
    <mergeCell ref="A1:G1"/>
    <mergeCell ref="A2:G2"/>
    <mergeCell ref="D4:G4"/>
    <mergeCell ref="A5:A6"/>
    <mergeCell ref="A7:A11"/>
    <mergeCell ref="A28:A29"/>
    <mergeCell ref="A30:A33"/>
    <mergeCell ref="A37:A38"/>
    <mergeCell ref="A39:A40"/>
    <mergeCell ref="A41:A42"/>
    <mergeCell ref="A43:A44"/>
    <mergeCell ref="A45:A46"/>
    <mergeCell ref="A50:A51"/>
    <mergeCell ref="A52:A53"/>
    <mergeCell ref="A54:A57"/>
    <mergeCell ref="A58:A62"/>
    <mergeCell ref="A63:A66"/>
    <mergeCell ref="A67:A70"/>
    <mergeCell ref="A71:A72"/>
    <mergeCell ref="A73:A74"/>
    <mergeCell ref="A75:A76"/>
    <mergeCell ref="A77:A78"/>
    <mergeCell ref="A79:A80"/>
    <mergeCell ref="A81:A82"/>
    <mergeCell ref="A83:A84"/>
    <mergeCell ref="A85:A86"/>
    <mergeCell ref="A87:A88"/>
    <mergeCell ref="A89:A90"/>
    <mergeCell ref="A91:A92"/>
    <mergeCell ref="A93:A97"/>
    <mergeCell ref="A98:A101"/>
    <mergeCell ref="A102:A103"/>
    <mergeCell ref="A104:A107"/>
    <mergeCell ref="A108:A109"/>
    <mergeCell ref="A110:A112"/>
    <mergeCell ref="A113:A114"/>
    <mergeCell ref="A115:A116"/>
    <mergeCell ref="A117:A118"/>
    <mergeCell ref="A120:A122"/>
    <mergeCell ref="A123:A124"/>
    <mergeCell ref="A125:A127"/>
    <mergeCell ref="A128:A130"/>
    <mergeCell ref="A131:A132"/>
    <mergeCell ref="A133:A135"/>
    <mergeCell ref="A136:A138"/>
    <mergeCell ref="A139:A140"/>
    <mergeCell ref="A142:A147"/>
    <mergeCell ref="A148:A149"/>
    <mergeCell ref="A150:A151"/>
    <mergeCell ref="A152:A155"/>
    <mergeCell ref="A156:A157"/>
    <mergeCell ref="A158:A159"/>
    <mergeCell ref="A160:A161"/>
    <mergeCell ref="A162:A164"/>
    <mergeCell ref="A165:A167"/>
    <mergeCell ref="A168:A169"/>
    <mergeCell ref="A170:A171"/>
    <mergeCell ref="A172:A173"/>
    <mergeCell ref="A174:A175"/>
    <mergeCell ref="A176:A178"/>
    <mergeCell ref="A179:A181"/>
    <mergeCell ref="A182:A183"/>
    <mergeCell ref="A184:A186"/>
    <mergeCell ref="A187:A188"/>
    <mergeCell ref="A189:A191"/>
    <mergeCell ref="A192:A194"/>
    <mergeCell ref="A195:A196"/>
    <mergeCell ref="A197:A198"/>
    <mergeCell ref="A199:A200"/>
    <mergeCell ref="A201:A202"/>
    <mergeCell ref="A203:A205"/>
    <mergeCell ref="A206:A207"/>
    <mergeCell ref="A208:A209"/>
    <mergeCell ref="A210:A211"/>
    <mergeCell ref="A212:A213"/>
    <mergeCell ref="A214:A216"/>
    <mergeCell ref="A217:A219"/>
    <mergeCell ref="A220:A221"/>
    <mergeCell ref="A222:A225"/>
    <mergeCell ref="A226:A227"/>
    <mergeCell ref="A228:A231"/>
    <mergeCell ref="A232:A233"/>
    <mergeCell ref="A234:A235"/>
    <mergeCell ref="A236:A237"/>
    <mergeCell ref="A238:A239"/>
    <mergeCell ref="A240:A242"/>
    <mergeCell ref="A243:A244"/>
    <mergeCell ref="A245:A247"/>
    <mergeCell ref="A248:A249"/>
    <mergeCell ref="A250:A252"/>
    <mergeCell ref="A253:A256"/>
    <mergeCell ref="A257:A258"/>
    <mergeCell ref="A259:A260"/>
    <mergeCell ref="A261:A262"/>
    <mergeCell ref="A263:A264"/>
    <mergeCell ref="A265:A266"/>
    <mergeCell ref="A267:A268"/>
    <mergeCell ref="A269:A270"/>
    <mergeCell ref="A271:A272"/>
    <mergeCell ref="A273:A274"/>
    <mergeCell ref="A275:A276"/>
    <mergeCell ref="A277:A278"/>
    <mergeCell ref="A279:A282"/>
    <mergeCell ref="A283:A284"/>
    <mergeCell ref="A285:A287"/>
    <mergeCell ref="A288:A290"/>
    <mergeCell ref="A291:A292"/>
    <mergeCell ref="A293:A294"/>
    <mergeCell ref="A295:A296"/>
    <mergeCell ref="A297:A298"/>
    <mergeCell ref="E91:E92"/>
    <mergeCell ref="F28:F29"/>
    <mergeCell ref="F30:F33"/>
    <mergeCell ref="F37:F38"/>
    <mergeCell ref="F39:F40"/>
    <mergeCell ref="F41:F42"/>
    <mergeCell ref="F43:F44"/>
    <mergeCell ref="F45:F46"/>
    <mergeCell ref="F71:F72"/>
    <mergeCell ref="F73:F74"/>
    <mergeCell ref="F79:F80"/>
    <mergeCell ref="F81:F82"/>
    <mergeCell ref="F104:F107"/>
    <mergeCell ref="F117:F118"/>
    <mergeCell ref="F120:F122"/>
    <mergeCell ref="F123:F124"/>
    <mergeCell ref="F125:F127"/>
    <mergeCell ref="F128:F130"/>
    <mergeCell ref="F131:F132"/>
    <mergeCell ref="F133:F135"/>
    <mergeCell ref="F139:F140"/>
    <mergeCell ref="F160:F161"/>
    <mergeCell ref="F172:F173"/>
    <mergeCell ref="F182:F183"/>
    <mergeCell ref="F275:F276"/>
    <mergeCell ref="F285:F287"/>
    <mergeCell ref="F295:F296"/>
  </mergeCells>
  <pageMargins left="0.700694444444445" right="0.700694444444445" top="0.751388888888889" bottom="0.751388888888889" header="0.298611111111111" footer="0.298611111111111"/>
  <pageSetup paperSize="9" scale="79" fitToHeight="0" orientation="landscape"/>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32"/>
  <sheetViews>
    <sheetView workbookViewId="0">
      <selection activeCell="G8" sqref="G8"/>
    </sheetView>
  </sheetViews>
  <sheetFormatPr defaultColWidth="9" defaultRowHeight="18" customHeight="1" outlineLevelCol="3"/>
  <cols>
    <col min="1" max="1" width="6.12727272727273" style="39" customWidth="1"/>
    <col min="2" max="2" width="17.2545454545455" style="39" customWidth="1"/>
    <col min="3" max="3" width="46.5" style="40" customWidth="1"/>
    <col min="4" max="4" width="12.3727272727273" style="39" customWidth="1"/>
    <col min="5" max="16384" width="9" style="38"/>
  </cols>
  <sheetData>
    <row r="1" customHeight="1" spans="1:4">
      <c r="A1" s="41" t="s">
        <v>764</v>
      </c>
    </row>
    <row r="2" customHeight="1" spans="1:4">
      <c r="A2" s="41" t="s">
        <v>765</v>
      </c>
      <c r="B2" s="41"/>
      <c r="C2" s="42"/>
      <c r="D2" s="41"/>
    </row>
    <row r="3" customHeight="1" spans="1:4">
      <c r="A3" s="43" t="s">
        <v>2</v>
      </c>
      <c r="B3" s="43" t="s">
        <v>3</v>
      </c>
      <c r="C3" s="44" t="s">
        <v>4</v>
      </c>
      <c r="D3" s="43" t="s">
        <v>6</v>
      </c>
    </row>
    <row r="4" customHeight="1" spans="1:4">
      <c r="A4" s="43">
        <v>1</v>
      </c>
      <c r="B4" s="141" t="s">
        <v>766</v>
      </c>
      <c r="C4" s="46" t="s">
        <v>767</v>
      </c>
      <c r="D4" s="47" t="s">
        <v>21</v>
      </c>
    </row>
    <row r="5" customHeight="1" spans="1:4">
      <c r="A5" s="43">
        <v>2</v>
      </c>
      <c r="B5" s="142" t="s">
        <v>768</v>
      </c>
      <c r="C5" s="49" t="s">
        <v>769</v>
      </c>
      <c r="D5" s="50" t="s">
        <v>79</v>
      </c>
    </row>
    <row r="6" customHeight="1" spans="1:4">
      <c r="A6" s="43">
        <v>3</v>
      </c>
      <c r="B6" s="142" t="s">
        <v>770</v>
      </c>
      <c r="C6" s="49" t="s">
        <v>771</v>
      </c>
      <c r="D6" s="50" t="s">
        <v>79</v>
      </c>
    </row>
    <row r="7" customHeight="1" spans="1:4">
      <c r="A7" s="43">
        <v>4</v>
      </c>
      <c r="B7" s="48" t="s">
        <v>772</v>
      </c>
      <c r="C7" s="49" t="s">
        <v>773</v>
      </c>
      <c r="D7" s="50" t="s">
        <v>79</v>
      </c>
    </row>
    <row r="8" customHeight="1" spans="1:4">
      <c r="A8" s="43">
        <v>5</v>
      </c>
      <c r="B8" s="48" t="s">
        <v>774</v>
      </c>
      <c r="C8" s="49" t="s">
        <v>775</v>
      </c>
      <c r="D8" s="50" t="s">
        <v>79</v>
      </c>
    </row>
    <row r="9" customHeight="1" spans="1:4">
      <c r="A9" s="43">
        <v>6</v>
      </c>
      <c r="B9" s="48" t="s">
        <v>776</v>
      </c>
      <c r="C9" s="49" t="s">
        <v>777</v>
      </c>
      <c r="D9" s="50" t="s">
        <v>79</v>
      </c>
    </row>
    <row r="10" customHeight="1" spans="1:4">
      <c r="A10" s="43">
        <v>7</v>
      </c>
      <c r="B10" s="48" t="s">
        <v>778</v>
      </c>
      <c r="C10" s="49" t="s">
        <v>779</v>
      </c>
      <c r="D10" s="50" t="s">
        <v>21</v>
      </c>
    </row>
    <row r="11" customHeight="1" spans="1:4">
      <c r="A11" s="43">
        <v>8</v>
      </c>
      <c r="B11" s="48" t="s">
        <v>780</v>
      </c>
      <c r="C11" s="49" t="s">
        <v>781</v>
      </c>
      <c r="D11" s="50" t="s">
        <v>21</v>
      </c>
    </row>
    <row r="12" customHeight="1" spans="1:4">
      <c r="A12" s="43">
        <v>9</v>
      </c>
      <c r="B12" s="48" t="s">
        <v>782</v>
      </c>
      <c r="C12" s="49" t="s">
        <v>783</v>
      </c>
      <c r="D12" s="50" t="s">
        <v>21</v>
      </c>
    </row>
    <row r="13" customHeight="1" spans="1:4">
      <c r="A13" s="43">
        <v>10</v>
      </c>
      <c r="B13" s="48" t="s">
        <v>784</v>
      </c>
      <c r="C13" s="49" t="s">
        <v>785</v>
      </c>
      <c r="D13" s="50" t="s">
        <v>21</v>
      </c>
    </row>
    <row r="14" customHeight="1" spans="1:4">
      <c r="A14" s="43">
        <v>11</v>
      </c>
      <c r="B14" s="48" t="s">
        <v>786</v>
      </c>
      <c r="C14" s="49" t="s">
        <v>787</v>
      </c>
      <c r="D14" s="50" t="s">
        <v>21</v>
      </c>
    </row>
    <row r="15" customHeight="1" spans="1:4">
      <c r="A15" s="43">
        <v>12</v>
      </c>
      <c r="B15" s="48" t="s">
        <v>788</v>
      </c>
      <c r="C15" s="49" t="s">
        <v>789</v>
      </c>
      <c r="D15" s="50" t="s">
        <v>21</v>
      </c>
    </row>
    <row r="16" customHeight="1" spans="1:4">
      <c r="A16" s="43">
        <v>13</v>
      </c>
      <c r="B16" s="48" t="s">
        <v>790</v>
      </c>
      <c r="C16" s="49" t="s">
        <v>791</v>
      </c>
      <c r="D16" s="50" t="s">
        <v>792</v>
      </c>
    </row>
    <row r="17" customHeight="1" spans="1:4">
      <c r="A17" s="43">
        <v>14</v>
      </c>
      <c r="B17" s="51" t="s">
        <v>793</v>
      </c>
      <c r="C17" s="52" t="s">
        <v>794</v>
      </c>
      <c r="D17" s="53" t="s">
        <v>21</v>
      </c>
    </row>
    <row r="18" customHeight="1" spans="1:4">
      <c r="A18" s="43">
        <v>15</v>
      </c>
      <c r="B18" s="51" t="s">
        <v>795</v>
      </c>
      <c r="C18" s="52" t="s">
        <v>796</v>
      </c>
      <c r="D18" s="53" t="s">
        <v>21</v>
      </c>
    </row>
    <row r="19" customHeight="1" spans="1:4">
      <c r="A19" s="43">
        <v>16</v>
      </c>
      <c r="B19" s="48" t="s">
        <v>797</v>
      </c>
      <c r="C19" s="49" t="s">
        <v>798</v>
      </c>
      <c r="D19" s="50" t="s">
        <v>79</v>
      </c>
    </row>
    <row r="20" customHeight="1" spans="1:4">
      <c r="A20" s="43">
        <v>17</v>
      </c>
      <c r="B20" s="54" t="s">
        <v>799</v>
      </c>
      <c r="C20" s="55" t="s">
        <v>800</v>
      </c>
      <c r="D20" s="56" t="s">
        <v>79</v>
      </c>
    </row>
    <row r="21" customHeight="1" spans="1:4">
      <c r="A21" s="43">
        <v>18</v>
      </c>
      <c r="B21" s="54" t="s">
        <v>801</v>
      </c>
      <c r="C21" s="55" t="s">
        <v>802</v>
      </c>
      <c r="D21" s="56" t="s">
        <v>79</v>
      </c>
    </row>
    <row r="22" customHeight="1" spans="1:4">
      <c r="A22" s="43">
        <v>19</v>
      </c>
      <c r="B22" s="54" t="s">
        <v>803</v>
      </c>
      <c r="C22" s="55" t="s">
        <v>804</v>
      </c>
      <c r="D22" s="56" t="s">
        <v>79</v>
      </c>
    </row>
    <row r="23" customHeight="1" spans="1:4">
      <c r="A23" s="43">
        <v>20</v>
      </c>
      <c r="B23" s="54" t="s">
        <v>805</v>
      </c>
      <c r="C23" s="55" t="s">
        <v>806</v>
      </c>
      <c r="D23" s="56" t="s">
        <v>79</v>
      </c>
    </row>
    <row r="24" customHeight="1" spans="1:4">
      <c r="A24" s="43">
        <v>21</v>
      </c>
      <c r="B24" s="48" t="s">
        <v>807</v>
      </c>
      <c r="C24" s="49" t="s">
        <v>808</v>
      </c>
      <c r="D24" s="50" t="s">
        <v>79</v>
      </c>
    </row>
    <row r="25" customHeight="1" spans="1:4">
      <c r="A25" s="43">
        <v>22</v>
      </c>
      <c r="B25" s="51" t="s">
        <v>809</v>
      </c>
      <c r="C25" s="52" t="s">
        <v>810</v>
      </c>
      <c r="D25" s="53" t="s">
        <v>21</v>
      </c>
    </row>
    <row r="26" customHeight="1" spans="1:4">
      <c r="A26" s="43">
        <v>23</v>
      </c>
      <c r="B26" s="51" t="s">
        <v>811</v>
      </c>
      <c r="C26" s="52" t="s">
        <v>812</v>
      </c>
      <c r="D26" s="53" t="s">
        <v>21</v>
      </c>
    </row>
    <row r="27" customHeight="1" spans="1:4">
      <c r="A27" s="43">
        <v>24</v>
      </c>
      <c r="B27" s="48" t="s">
        <v>813</v>
      </c>
      <c r="C27" s="49" t="s">
        <v>814</v>
      </c>
      <c r="D27" s="50" t="s">
        <v>21</v>
      </c>
    </row>
    <row r="28" customHeight="1" spans="1:4">
      <c r="A28" s="43">
        <v>25</v>
      </c>
      <c r="B28" s="48" t="s">
        <v>815</v>
      </c>
      <c r="C28" s="49" t="s">
        <v>816</v>
      </c>
      <c r="D28" s="50" t="s">
        <v>21</v>
      </c>
    </row>
    <row r="29" customHeight="1" spans="1:4">
      <c r="A29" s="43">
        <v>26</v>
      </c>
      <c r="B29" s="48" t="s">
        <v>817</v>
      </c>
      <c r="C29" s="49" t="s">
        <v>818</v>
      </c>
      <c r="D29" s="50" t="s">
        <v>21</v>
      </c>
    </row>
    <row r="30" customHeight="1" spans="1:4">
      <c r="A30" s="43">
        <v>27</v>
      </c>
      <c r="B30" s="48" t="s">
        <v>819</v>
      </c>
      <c r="C30" s="49" t="s">
        <v>820</v>
      </c>
      <c r="D30" s="50" t="s">
        <v>21</v>
      </c>
    </row>
    <row r="31" customHeight="1" spans="1:4">
      <c r="A31" s="43">
        <v>28</v>
      </c>
      <c r="B31" s="48" t="s">
        <v>821</v>
      </c>
      <c r="C31" s="49" t="s">
        <v>822</v>
      </c>
      <c r="D31" s="50" t="s">
        <v>21</v>
      </c>
    </row>
    <row r="32" customHeight="1" spans="1:4">
      <c r="A32" s="43">
        <v>29</v>
      </c>
      <c r="B32" s="142" t="s">
        <v>823</v>
      </c>
      <c r="C32" s="49" t="s">
        <v>824</v>
      </c>
      <c r="D32" s="50" t="s">
        <v>21</v>
      </c>
    </row>
    <row r="33" customHeight="1" spans="1:4">
      <c r="A33" s="43">
        <v>30</v>
      </c>
      <c r="B33" s="48" t="s">
        <v>825</v>
      </c>
      <c r="C33" s="49" t="s">
        <v>826</v>
      </c>
      <c r="D33" s="50" t="s">
        <v>21</v>
      </c>
    </row>
    <row r="34" customHeight="1" spans="1:4">
      <c r="A34" s="43">
        <v>31</v>
      </c>
      <c r="B34" s="48" t="s">
        <v>827</v>
      </c>
      <c r="C34" s="49" t="s">
        <v>828</v>
      </c>
      <c r="D34" s="50" t="s">
        <v>21</v>
      </c>
    </row>
    <row r="35" customHeight="1" spans="1:4">
      <c r="A35" s="43">
        <v>32</v>
      </c>
      <c r="B35" s="48" t="s">
        <v>829</v>
      </c>
      <c r="C35" s="49" t="s">
        <v>830</v>
      </c>
      <c r="D35" s="50" t="s">
        <v>79</v>
      </c>
    </row>
    <row r="36" customHeight="1" spans="1:4">
      <c r="A36" s="43">
        <v>33</v>
      </c>
      <c r="B36" s="48" t="s">
        <v>831</v>
      </c>
      <c r="C36" s="49" t="s">
        <v>832</v>
      </c>
      <c r="D36" s="50" t="s">
        <v>79</v>
      </c>
    </row>
    <row r="37" customHeight="1" spans="1:4">
      <c r="A37" s="43">
        <v>34</v>
      </c>
      <c r="B37" s="48" t="s">
        <v>833</v>
      </c>
      <c r="C37" s="49" t="s">
        <v>834</v>
      </c>
      <c r="D37" s="50" t="s">
        <v>79</v>
      </c>
    </row>
    <row r="38" customHeight="1" spans="1:4">
      <c r="A38" s="43">
        <v>35</v>
      </c>
      <c r="B38" s="48" t="s">
        <v>835</v>
      </c>
      <c r="C38" s="49" t="s">
        <v>836</v>
      </c>
      <c r="D38" s="50" t="s">
        <v>79</v>
      </c>
    </row>
    <row r="39" customHeight="1" spans="1:4">
      <c r="A39" s="43">
        <v>36</v>
      </c>
      <c r="B39" s="48" t="s">
        <v>837</v>
      </c>
      <c r="C39" s="49" t="s">
        <v>838</v>
      </c>
      <c r="D39" s="50" t="s">
        <v>21</v>
      </c>
    </row>
    <row r="40" customHeight="1" spans="1:4">
      <c r="A40" s="43">
        <v>37</v>
      </c>
      <c r="B40" s="142" t="s">
        <v>839</v>
      </c>
      <c r="C40" s="49" t="s">
        <v>840</v>
      </c>
      <c r="D40" s="50" t="s">
        <v>792</v>
      </c>
    </row>
    <row r="41" customHeight="1" spans="1:4">
      <c r="A41" s="43">
        <v>38</v>
      </c>
      <c r="B41" s="48" t="s">
        <v>841</v>
      </c>
      <c r="C41" s="49" t="s">
        <v>842</v>
      </c>
      <c r="D41" s="50" t="s">
        <v>21</v>
      </c>
    </row>
    <row r="42" customHeight="1" spans="1:4">
      <c r="A42" s="43">
        <v>39</v>
      </c>
      <c r="B42" s="48" t="s">
        <v>843</v>
      </c>
      <c r="C42" s="49" t="s">
        <v>844</v>
      </c>
      <c r="D42" s="50" t="s">
        <v>21</v>
      </c>
    </row>
    <row r="43" customHeight="1" spans="1:4">
      <c r="A43" s="43">
        <v>40</v>
      </c>
      <c r="B43" s="48" t="s">
        <v>845</v>
      </c>
      <c r="C43" s="49" t="s">
        <v>846</v>
      </c>
      <c r="D43" s="50" t="s">
        <v>21</v>
      </c>
    </row>
    <row r="44" customHeight="1" spans="1:4">
      <c r="A44" s="43">
        <v>41</v>
      </c>
      <c r="B44" s="48" t="s">
        <v>847</v>
      </c>
      <c r="C44" s="49" t="s">
        <v>848</v>
      </c>
      <c r="D44" s="50" t="s">
        <v>21</v>
      </c>
    </row>
    <row r="45" customHeight="1" spans="1:4">
      <c r="A45" s="43">
        <v>42</v>
      </c>
      <c r="B45" s="48" t="s">
        <v>849</v>
      </c>
      <c r="C45" s="49" t="s">
        <v>850</v>
      </c>
      <c r="D45" s="50" t="s">
        <v>21</v>
      </c>
    </row>
    <row r="46" customHeight="1" spans="1:4">
      <c r="A46" s="43">
        <v>43</v>
      </c>
      <c r="B46" s="48" t="s">
        <v>851</v>
      </c>
      <c r="C46" s="49" t="s">
        <v>852</v>
      </c>
      <c r="D46" s="50" t="s">
        <v>21</v>
      </c>
    </row>
    <row r="47" customHeight="1" spans="1:4">
      <c r="A47" s="43">
        <v>44</v>
      </c>
      <c r="B47" s="142" t="s">
        <v>853</v>
      </c>
      <c r="C47" s="49" t="s">
        <v>854</v>
      </c>
      <c r="D47" s="50" t="s">
        <v>21</v>
      </c>
    </row>
    <row r="48" customHeight="1" spans="1:4">
      <c r="A48" s="43">
        <v>45</v>
      </c>
      <c r="B48" s="48" t="s">
        <v>855</v>
      </c>
      <c r="C48" s="49" t="s">
        <v>856</v>
      </c>
      <c r="D48" s="50" t="s">
        <v>21</v>
      </c>
    </row>
    <row r="49" customHeight="1" spans="1:4">
      <c r="A49" s="43">
        <v>46</v>
      </c>
      <c r="B49" s="48" t="s">
        <v>857</v>
      </c>
      <c r="C49" s="49" t="s">
        <v>858</v>
      </c>
      <c r="D49" s="50" t="s">
        <v>21</v>
      </c>
    </row>
    <row r="50" customHeight="1" spans="1:4">
      <c r="A50" s="43">
        <v>47</v>
      </c>
      <c r="B50" s="48" t="s">
        <v>859</v>
      </c>
      <c r="C50" s="49" t="s">
        <v>860</v>
      </c>
      <c r="D50" s="50" t="s">
        <v>21</v>
      </c>
    </row>
    <row r="51" customHeight="1" spans="1:4">
      <c r="A51" s="43">
        <v>48</v>
      </c>
      <c r="B51" s="48" t="s">
        <v>861</v>
      </c>
      <c r="C51" s="49" t="s">
        <v>862</v>
      </c>
      <c r="D51" s="50" t="s">
        <v>21</v>
      </c>
    </row>
    <row r="52" customHeight="1" spans="1:4">
      <c r="A52" s="43">
        <v>49</v>
      </c>
      <c r="B52" s="48" t="s">
        <v>863</v>
      </c>
      <c r="C52" s="49" t="s">
        <v>864</v>
      </c>
      <c r="D52" s="50" t="s">
        <v>21</v>
      </c>
    </row>
    <row r="53" customHeight="1" spans="1:4">
      <c r="A53" s="43">
        <v>50</v>
      </c>
      <c r="B53" s="48" t="s">
        <v>865</v>
      </c>
      <c r="C53" s="49" t="s">
        <v>866</v>
      </c>
      <c r="D53" s="50" t="s">
        <v>21</v>
      </c>
    </row>
    <row r="54" customHeight="1" spans="1:4">
      <c r="A54" s="43">
        <v>51</v>
      </c>
      <c r="B54" s="51" t="s">
        <v>867</v>
      </c>
      <c r="C54" s="52" t="s">
        <v>868</v>
      </c>
      <c r="D54" s="53" t="s">
        <v>21</v>
      </c>
    </row>
    <row r="55" customHeight="1" spans="1:4">
      <c r="A55" s="43">
        <v>52</v>
      </c>
      <c r="B55" s="51" t="s">
        <v>869</v>
      </c>
      <c r="C55" s="52" t="s">
        <v>870</v>
      </c>
      <c r="D55" s="53" t="s">
        <v>21</v>
      </c>
    </row>
    <row r="56" customHeight="1" spans="1:4">
      <c r="A56" s="43">
        <v>53</v>
      </c>
      <c r="B56" s="51" t="s">
        <v>871</v>
      </c>
      <c r="C56" s="52" t="s">
        <v>872</v>
      </c>
      <c r="D56" s="53" t="s">
        <v>21</v>
      </c>
    </row>
    <row r="57" customHeight="1" spans="1:4">
      <c r="A57" s="43">
        <v>54</v>
      </c>
      <c r="B57" s="48" t="s">
        <v>873</v>
      </c>
      <c r="C57" s="49" t="s">
        <v>874</v>
      </c>
      <c r="D57" s="50" t="s">
        <v>21</v>
      </c>
    </row>
    <row r="58" customHeight="1" spans="1:4">
      <c r="A58" s="43">
        <v>55</v>
      </c>
      <c r="B58" s="48" t="s">
        <v>875</v>
      </c>
      <c r="C58" s="49" t="s">
        <v>876</v>
      </c>
      <c r="D58" s="50" t="s">
        <v>21</v>
      </c>
    </row>
    <row r="59" customHeight="1" spans="1:4">
      <c r="A59" s="43">
        <v>56</v>
      </c>
      <c r="B59" s="142" t="s">
        <v>877</v>
      </c>
      <c r="C59" s="49" t="s">
        <v>878</v>
      </c>
      <c r="D59" s="50" t="s">
        <v>21</v>
      </c>
    </row>
    <row r="60" customHeight="1" spans="1:4">
      <c r="A60" s="43">
        <v>57</v>
      </c>
      <c r="B60" s="48" t="s">
        <v>879</v>
      </c>
      <c r="C60" s="49" t="s">
        <v>880</v>
      </c>
      <c r="D60" s="50" t="s">
        <v>21</v>
      </c>
    </row>
    <row r="61" customHeight="1" spans="1:4">
      <c r="A61" s="43">
        <v>58</v>
      </c>
      <c r="B61" s="48" t="s">
        <v>881</v>
      </c>
      <c r="C61" s="49" t="s">
        <v>882</v>
      </c>
      <c r="D61" s="50" t="s">
        <v>21</v>
      </c>
    </row>
    <row r="62" customHeight="1" spans="1:4">
      <c r="A62" s="43">
        <v>59</v>
      </c>
      <c r="B62" s="51" t="s">
        <v>883</v>
      </c>
      <c r="C62" s="52" t="s">
        <v>884</v>
      </c>
      <c r="D62" s="53" t="s">
        <v>21</v>
      </c>
    </row>
    <row r="63" customHeight="1" spans="1:4">
      <c r="A63" s="43">
        <v>60</v>
      </c>
      <c r="B63" s="51" t="s">
        <v>885</v>
      </c>
      <c r="C63" s="52" t="s">
        <v>886</v>
      </c>
      <c r="D63" s="53" t="s">
        <v>21</v>
      </c>
    </row>
    <row r="64" customHeight="1" spans="1:4">
      <c r="A64" s="43">
        <v>61</v>
      </c>
      <c r="B64" s="48" t="s">
        <v>887</v>
      </c>
      <c r="C64" s="49" t="s">
        <v>888</v>
      </c>
      <c r="D64" s="50" t="s">
        <v>21</v>
      </c>
    </row>
    <row r="65" customHeight="1" spans="1:4">
      <c r="A65" s="43">
        <v>62</v>
      </c>
      <c r="B65" s="48" t="s">
        <v>889</v>
      </c>
      <c r="C65" s="49" t="s">
        <v>890</v>
      </c>
      <c r="D65" s="50" t="s">
        <v>21</v>
      </c>
    </row>
    <row r="66" customHeight="1" spans="1:4">
      <c r="A66" s="43">
        <v>63</v>
      </c>
      <c r="B66" s="48" t="s">
        <v>891</v>
      </c>
      <c r="C66" s="49" t="s">
        <v>892</v>
      </c>
      <c r="D66" s="50" t="s">
        <v>21</v>
      </c>
    </row>
    <row r="67" customHeight="1" spans="1:4">
      <c r="A67" s="43">
        <v>64</v>
      </c>
      <c r="B67" s="48" t="s">
        <v>893</v>
      </c>
      <c r="C67" s="49" t="s">
        <v>894</v>
      </c>
      <c r="D67" s="50" t="s">
        <v>21</v>
      </c>
    </row>
    <row r="68" customHeight="1" spans="1:4">
      <c r="A68" s="43">
        <v>65</v>
      </c>
      <c r="B68" s="48" t="s">
        <v>895</v>
      </c>
      <c r="C68" s="49" t="s">
        <v>896</v>
      </c>
      <c r="D68" s="50" t="s">
        <v>21</v>
      </c>
    </row>
    <row r="69" customHeight="1" spans="1:4">
      <c r="A69" s="43">
        <v>66</v>
      </c>
      <c r="B69" s="48" t="s">
        <v>897</v>
      </c>
      <c r="C69" s="49" t="s">
        <v>898</v>
      </c>
      <c r="D69" s="50" t="s">
        <v>21</v>
      </c>
    </row>
    <row r="70" customHeight="1" spans="1:4">
      <c r="A70" s="43">
        <v>67</v>
      </c>
      <c r="B70" s="48" t="s">
        <v>899</v>
      </c>
      <c r="C70" s="49" t="s">
        <v>900</v>
      </c>
      <c r="D70" s="50" t="s">
        <v>21</v>
      </c>
    </row>
    <row r="71" customHeight="1" spans="1:4">
      <c r="A71" s="43">
        <v>68</v>
      </c>
      <c r="B71" s="48" t="s">
        <v>901</v>
      </c>
      <c r="C71" s="49" t="s">
        <v>902</v>
      </c>
      <c r="D71" s="50" t="s">
        <v>21</v>
      </c>
    </row>
    <row r="72" customHeight="1" spans="1:4">
      <c r="A72" s="43">
        <v>69</v>
      </c>
      <c r="B72" s="48" t="s">
        <v>903</v>
      </c>
      <c r="C72" s="49" t="s">
        <v>904</v>
      </c>
      <c r="D72" s="50" t="s">
        <v>21</v>
      </c>
    </row>
    <row r="73" customHeight="1" spans="1:4">
      <c r="A73" s="43">
        <v>70</v>
      </c>
      <c r="B73" s="48" t="s">
        <v>905</v>
      </c>
      <c r="C73" s="49" t="s">
        <v>906</v>
      </c>
      <c r="D73" s="50" t="s">
        <v>21</v>
      </c>
    </row>
    <row r="74" customHeight="1" spans="1:4">
      <c r="A74" s="43">
        <v>71</v>
      </c>
      <c r="B74" s="51" t="s">
        <v>907</v>
      </c>
      <c r="C74" s="52" t="s">
        <v>908</v>
      </c>
      <c r="D74" s="53" t="s">
        <v>21</v>
      </c>
    </row>
    <row r="75" customHeight="1" spans="1:4">
      <c r="A75" s="43">
        <v>72</v>
      </c>
      <c r="B75" s="48" t="s">
        <v>909</v>
      </c>
      <c r="C75" s="49" t="s">
        <v>910</v>
      </c>
      <c r="D75" s="50" t="s">
        <v>21</v>
      </c>
    </row>
    <row r="76" customHeight="1" spans="1:4">
      <c r="A76" s="43">
        <v>73</v>
      </c>
      <c r="B76" s="48" t="s">
        <v>911</v>
      </c>
      <c r="C76" s="49" t="s">
        <v>912</v>
      </c>
      <c r="D76" s="50" t="s">
        <v>21</v>
      </c>
    </row>
    <row r="77" customHeight="1" spans="1:4">
      <c r="A77" s="43">
        <v>74</v>
      </c>
      <c r="B77" s="48" t="s">
        <v>913</v>
      </c>
      <c r="C77" s="49" t="s">
        <v>914</v>
      </c>
      <c r="D77" s="50" t="s">
        <v>21</v>
      </c>
    </row>
    <row r="78" customHeight="1" spans="1:4">
      <c r="A78" s="43">
        <v>75</v>
      </c>
      <c r="B78" s="48" t="s">
        <v>915</v>
      </c>
      <c r="C78" s="49" t="s">
        <v>916</v>
      </c>
      <c r="D78" s="50" t="s">
        <v>21</v>
      </c>
    </row>
    <row r="79" customHeight="1" spans="1:4">
      <c r="A79" s="43">
        <v>76</v>
      </c>
      <c r="B79" s="48" t="s">
        <v>917</v>
      </c>
      <c r="C79" s="49" t="s">
        <v>918</v>
      </c>
      <c r="D79" s="50" t="s">
        <v>21</v>
      </c>
    </row>
    <row r="80" customHeight="1" spans="1:4">
      <c r="A80" s="43">
        <v>77</v>
      </c>
      <c r="B80" s="48" t="s">
        <v>919</v>
      </c>
      <c r="C80" s="49" t="s">
        <v>920</v>
      </c>
      <c r="D80" s="50" t="s">
        <v>21</v>
      </c>
    </row>
    <row r="81" customHeight="1" spans="1:4">
      <c r="A81" s="43">
        <v>78</v>
      </c>
      <c r="B81" s="51" t="s">
        <v>921</v>
      </c>
      <c r="C81" s="52" t="s">
        <v>922</v>
      </c>
      <c r="D81" s="53" t="s">
        <v>21</v>
      </c>
    </row>
    <row r="82" customHeight="1" spans="1:4">
      <c r="A82" s="43">
        <v>79</v>
      </c>
      <c r="B82" s="51" t="s">
        <v>923</v>
      </c>
      <c r="C82" s="52" t="s">
        <v>924</v>
      </c>
      <c r="D82" s="53" t="s">
        <v>21</v>
      </c>
    </row>
    <row r="83" customHeight="1" spans="1:4">
      <c r="A83" s="43">
        <v>80</v>
      </c>
      <c r="B83" s="48" t="s">
        <v>925</v>
      </c>
      <c r="C83" s="49" t="s">
        <v>926</v>
      </c>
      <c r="D83" s="50" t="s">
        <v>21</v>
      </c>
    </row>
    <row r="84" customHeight="1" spans="1:4">
      <c r="A84" s="43">
        <v>81</v>
      </c>
      <c r="B84" s="48" t="s">
        <v>927</v>
      </c>
      <c r="C84" s="49" t="s">
        <v>928</v>
      </c>
      <c r="D84" s="50" t="s">
        <v>21</v>
      </c>
    </row>
    <row r="85" customHeight="1" spans="1:4">
      <c r="A85" s="43">
        <v>82</v>
      </c>
      <c r="B85" s="48" t="s">
        <v>929</v>
      </c>
      <c r="C85" s="49" t="s">
        <v>930</v>
      </c>
      <c r="D85" s="50" t="s">
        <v>21</v>
      </c>
    </row>
    <row r="86" customHeight="1" spans="1:4">
      <c r="A86" s="43">
        <v>83</v>
      </c>
      <c r="B86" s="48" t="s">
        <v>931</v>
      </c>
      <c r="C86" s="49" t="s">
        <v>932</v>
      </c>
      <c r="D86" s="50" t="s">
        <v>21</v>
      </c>
    </row>
    <row r="87" customHeight="1" spans="1:4">
      <c r="A87" s="43">
        <v>84</v>
      </c>
      <c r="B87" s="48" t="s">
        <v>933</v>
      </c>
      <c r="C87" s="49" t="s">
        <v>934</v>
      </c>
      <c r="D87" s="50" t="s">
        <v>21</v>
      </c>
    </row>
    <row r="88" customHeight="1" spans="1:4">
      <c r="A88" s="43">
        <v>85</v>
      </c>
      <c r="B88" s="48" t="s">
        <v>935</v>
      </c>
      <c r="C88" s="49" t="s">
        <v>936</v>
      </c>
      <c r="D88" s="50" t="s">
        <v>21</v>
      </c>
    </row>
    <row r="89" customHeight="1" spans="1:4">
      <c r="A89" s="43">
        <v>86</v>
      </c>
      <c r="B89" s="48" t="s">
        <v>937</v>
      </c>
      <c r="C89" s="49" t="s">
        <v>938</v>
      </c>
      <c r="D89" s="50" t="s">
        <v>21</v>
      </c>
    </row>
    <row r="90" customHeight="1" spans="1:4">
      <c r="A90" s="43">
        <v>87</v>
      </c>
      <c r="B90" s="48" t="s">
        <v>939</v>
      </c>
      <c r="C90" s="49" t="s">
        <v>940</v>
      </c>
      <c r="D90" s="50" t="s">
        <v>21</v>
      </c>
    </row>
    <row r="91" customHeight="1" spans="1:4">
      <c r="A91" s="43">
        <v>88</v>
      </c>
      <c r="B91" s="48" t="s">
        <v>941</v>
      </c>
      <c r="C91" s="49" t="s">
        <v>942</v>
      </c>
      <c r="D91" s="50" t="s">
        <v>21</v>
      </c>
    </row>
    <row r="92" customHeight="1" spans="1:4">
      <c r="A92" s="43">
        <v>89</v>
      </c>
      <c r="B92" s="48" t="s">
        <v>943</v>
      </c>
      <c r="C92" s="49" t="s">
        <v>944</v>
      </c>
      <c r="D92" s="50" t="s">
        <v>21</v>
      </c>
    </row>
    <row r="93" customHeight="1" spans="1:4">
      <c r="A93" s="43">
        <v>90</v>
      </c>
      <c r="B93" s="48" t="s">
        <v>945</v>
      </c>
      <c r="C93" s="49" t="s">
        <v>946</v>
      </c>
      <c r="D93" s="50" t="s">
        <v>21</v>
      </c>
    </row>
    <row r="94" customHeight="1" spans="1:4">
      <c r="A94" s="43">
        <v>91</v>
      </c>
      <c r="B94" s="48" t="s">
        <v>947</v>
      </c>
      <c r="C94" s="49" t="s">
        <v>948</v>
      </c>
      <c r="D94" s="50" t="s">
        <v>21</v>
      </c>
    </row>
    <row r="95" customHeight="1" spans="1:4">
      <c r="A95" s="43">
        <v>92</v>
      </c>
      <c r="B95" s="48" t="s">
        <v>949</v>
      </c>
      <c r="C95" s="49" t="s">
        <v>950</v>
      </c>
      <c r="D95" s="50" t="s">
        <v>21</v>
      </c>
    </row>
    <row r="96" customHeight="1" spans="1:4">
      <c r="A96" s="43">
        <v>93</v>
      </c>
      <c r="B96" s="48" t="s">
        <v>951</v>
      </c>
      <c r="C96" s="49" t="s">
        <v>952</v>
      </c>
      <c r="D96" s="50" t="s">
        <v>21</v>
      </c>
    </row>
    <row r="97" customHeight="1" spans="1:4">
      <c r="A97" s="43">
        <v>94</v>
      </c>
      <c r="B97" s="48" t="s">
        <v>953</v>
      </c>
      <c r="C97" s="49" t="s">
        <v>954</v>
      </c>
      <c r="D97" s="50" t="s">
        <v>21</v>
      </c>
    </row>
    <row r="98" customHeight="1" spans="1:4">
      <c r="A98" s="43">
        <v>95</v>
      </c>
      <c r="B98" s="48" t="s">
        <v>955</v>
      </c>
      <c r="C98" s="49" t="s">
        <v>956</v>
      </c>
      <c r="D98" s="50" t="s">
        <v>21</v>
      </c>
    </row>
    <row r="99" customHeight="1" spans="1:4">
      <c r="A99" s="43">
        <v>96</v>
      </c>
      <c r="B99" s="51" t="s">
        <v>957</v>
      </c>
      <c r="C99" s="52" t="s">
        <v>958</v>
      </c>
      <c r="D99" s="53" t="s">
        <v>21</v>
      </c>
    </row>
    <row r="100" customHeight="1" spans="1:4">
      <c r="A100" s="43">
        <v>97</v>
      </c>
      <c r="B100" s="48" t="s">
        <v>959</v>
      </c>
      <c r="C100" s="49" t="s">
        <v>960</v>
      </c>
      <c r="D100" s="50" t="s">
        <v>21</v>
      </c>
    </row>
    <row r="101" customHeight="1" spans="1:4">
      <c r="A101" s="43">
        <v>98</v>
      </c>
      <c r="B101" s="48" t="s">
        <v>961</v>
      </c>
      <c r="C101" s="49" t="s">
        <v>962</v>
      </c>
      <c r="D101" s="50" t="s">
        <v>21</v>
      </c>
    </row>
    <row r="102" customHeight="1" spans="1:4">
      <c r="A102" s="43">
        <v>99</v>
      </c>
      <c r="B102" s="48" t="s">
        <v>963</v>
      </c>
      <c r="C102" s="49" t="s">
        <v>964</v>
      </c>
      <c r="D102" s="50" t="s">
        <v>21</v>
      </c>
    </row>
    <row r="103" customHeight="1" spans="1:4">
      <c r="A103" s="43">
        <v>100</v>
      </c>
      <c r="B103" s="48" t="s">
        <v>965</v>
      </c>
      <c r="C103" s="49" t="s">
        <v>966</v>
      </c>
      <c r="D103" s="50" t="s">
        <v>21</v>
      </c>
    </row>
    <row r="104" customHeight="1" spans="1:4">
      <c r="A104" s="43">
        <v>101</v>
      </c>
      <c r="B104" s="142" t="s">
        <v>967</v>
      </c>
      <c r="C104" s="49" t="s">
        <v>968</v>
      </c>
      <c r="D104" s="50" t="s">
        <v>21</v>
      </c>
    </row>
    <row r="105" customHeight="1" spans="1:4">
      <c r="A105" s="43">
        <v>102</v>
      </c>
      <c r="B105" s="142" t="s">
        <v>969</v>
      </c>
      <c r="C105" s="49" t="s">
        <v>970</v>
      </c>
      <c r="D105" s="50" t="s">
        <v>21</v>
      </c>
    </row>
    <row r="106" customHeight="1" spans="1:4">
      <c r="A106" s="43">
        <v>103</v>
      </c>
      <c r="B106" s="51" t="s">
        <v>971</v>
      </c>
      <c r="C106" s="52" t="s">
        <v>972</v>
      </c>
      <c r="D106" s="53" t="s">
        <v>21</v>
      </c>
    </row>
    <row r="107" customHeight="1" spans="1:4">
      <c r="A107" s="43">
        <v>104</v>
      </c>
      <c r="B107" s="51" t="s">
        <v>973</v>
      </c>
      <c r="C107" s="52" t="s">
        <v>974</v>
      </c>
      <c r="D107" s="53" t="s">
        <v>21</v>
      </c>
    </row>
    <row r="108" customHeight="1" spans="1:4">
      <c r="A108" s="43">
        <v>105</v>
      </c>
      <c r="B108" s="51" t="s">
        <v>975</v>
      </c>
      <c r="C108" s="52" t="s">
        <v>976</v>
      </c>
      <c r="D108" s="53" t="s">
        <v>21</v>
      </c>
    </row>
    <row r="109" customHeight="1" spans="1:4">
      <c r="A109" s="43">
        <v>106</v>
      </c>
      <c r="B109" s="51" t="s">
        <v>977</v>
      </c>
      <c r="C109" s="52" t="s">
        <v>978</v>
      </c>
      <c r="D109" s="53" t="s">
        <v>21</v>
      </c>
    </row>
    <row r="110" customHeight="1" spans="1:4">
      <c r="A110" s="43">
        <v>107</v>
      </c>
      <c r="B110" s="48" t="s">
        <v>979</v>
      </c>
      <c r="C110" s="49" t="s">
        <v>980</v>
      </c>
      <c r="D110" s="50" t="s">
        <v>21</v>
      </c>
    </row>
    <row r="111" customHeight="1" spans="1:4">
      <c r="A111" s="43">
        <v>108</v>
      </c>
      <c r="B111" s="48" t="s">
        <v>981</v>
      </c>
      <c r="C111" s="49" t="s">
        <v>982</v>
      </c>
      <c r="D111" s="50" t="s">
        <v>21</v>
      </c>
    </row>
    <row r="112" customHeight="1" spans="1:4">
      <c r="A112" s="43">
        <v>109</v>
      </c>
      <c r="B112" s="142" t="s">
        <v>983</v>
      </c>
      <c r="C112" s="49" t="s">
        <v>984</v>
      </c>
      <c r="D112" s="50" t="s">
        <v>21</v>
      </c>
    </row>
    <row r="113" customHeight="1" spans="1:4">
      <c r="A113" s="43">
        <v>110</v>
      </c>
      <c r="B113" s="48" t="s">
        <v>985</v>
      </c>
      <c r="C113" s="49" t="s">
        <v>986</v>
      </c>
      <c r="D113" s="50" t="s">
        <v>21</v>
      </c>
    </row>
    <row r="114" customHeight="1" spans="1:4">
      <c r="A114" s="43">
        <v>111</v>
      </c>
      <c r="B114" s="48" t="s">
        <v>987</v>
      </c>
      <c r="C114" s="49" t="s">
        <v>988</v>
      </c>
      <c r="D114" s="50" t="s">
        <v>21</v>
      </c>
    </row>
    <row r="115" customHeight="1" spans="1:4">
      <c r="A115" s="43">
        <v>112</v>
      </c>
      <c r="B115" s="48" t="s">
        <v>989</v>
      </c>
      <c r="C115" s="49" t="s">
        <v>990</v>
      </c>
      <c r="D115" s="50" t="s">
        <v>991</v>
      </c>
    </row>
    <row r="116" customHeight="1" spans="1:4">
      <c r="A116" s="43">
        <v>113</v>
      </c>
      <c r="B116" s="48" t="s">
        <v>992</v>
      </c>
      <c r="C116" s="49" t="s">
        <v>993</v>
      </c>
      <c r="D116" s="50" t="s">
        <v>21</v>
      </c>
    </row>
    <row r="117" customHeight="1" spans="1:4">
      <c r="A117" s="43">
        <v>114</v>
      </c>
      <c r="B117" s="48" t="s">
        <v>994</v>
      </c>
      <c r="C117" s="49" t="s">
        <v>995</v>
      </c>
      <c r="D117" s="50" t="s">
        <v>21</v>
      </c>
    </row>
    <row r="118" customHeight="1" spans="1:4">
      <c r="A118" s="43">
        <v>115</v>
      </c>
      <c r="B118" s="51" t="s">
        <v>996</v>
      </c>
      <c r="C118" s="52" t="s">
        <v>997</v>
      </c>
      <c r="D118" s="53" t="s">
        <v>21</v>
      </c>
    </row>
    <row r="119" customHeight="1" spans="1:4">
      <c r="A119" s="43">
        <v>116</v>
      </c>
      <c r="B119" s="48" t="s">
        <v>998</v>
      </c>
      <c r="C119" s="49" t="s">
        <v>999</v>
      </c>
      <c r="D119" s="50" t="s">
        <v>21</v>
      </c>
    </row>
    <row r="120" customHeight="1" spans="1:4">
      <c r="A120" s="43">
        <v>117</v>
      </c>
      <c r="B120" s="48" t="s">
        <v>1000</v>
      </c>
      <c r="C120" s="49" t="s">
        <v>1001</v>
      </c>
      <c r="D120" s="50" t="s">
        <v>21</v>
      </c>
    </row>
    <row r="121" customHeight="1" spans="1:4">
      <c r="A121" s="43">
        <v>118</v>
      </c>
      <c r="B121" s="48" t="s">
        <v>1002</v>
      </c>
      <c r="C121" s="49" t="s">
        <v>1003</v>
      </c>
      <c r="D121" s="50" t="s">
        <v>21</v>
      </c>
    </row>
    <row r="122" customHeight="1" spans="1:4">
      <c r="A122" s="43">
        <v>119</v>
      </c>
      <c r="B122" s="48" t="s">
        <v>1004</v>
      </c>
      <c r="C122" s="49" t="s">
        <v>1005</v>
      </c>
      <c r="D122" s="50" t="s">
        <v>21</v>
      </c>
    </row>
    <row r="123" customHeight="1" spans="1:4">
      <c r="A123" s="43">
        <v>120</v>
      </c>
      <c r="B123" s="48" t="s">
        <v>1006</v>
      </c>
      <c r="C123" s="49" t="s">
        <v>1007</v>
      </c>
      <c r="D123" s="50" t="s">
        <v>21</v>
      </c>
    </row>
    <row r="124" customHeight="1" spans="1:4">
      <c r="A124" s="43">
        <v>121</v>
      </c>
      <c r="B124" s="48" t="s">
        <v>1008</v>
      </c>
      <c r="C124" s="57" t="s">
        <v>1009</v>
      </c>
      <c r="D124" s="50" t="s">
        <v>21</v>
      </c>
    </row>
    <row r="125" customHeight="1" spans="1:4">
      <c r="A125" s="43">
        <v>122</v>
      </c>
      <c r="B125" s="48" t="s">
        <v>1010</v>
      </c>
      <c r="C125" s="49" t="s">
        <v>1011</v>
      </c>
      <c r="D125" s="50" t="s">
        <v>21</v>
      </c>
    </row>
    <row r="126" customHeight="1" spans="1:4">
      <c r="A126" s="43">
        <v>123</v>
      </c>
      <c r="B126" s="48" t="s">
        <v>1012</v>
      </c>
      <c r="C126" s="49" t="s">
        <v>1013</v>
      </c>
      <c r="D126" s="50" t="s">
        <v>21</v>
      </c>
    </row>
    <row r="127" customHeight="1" spans="1:4">
      <c r="A127" s="43">
        <v>124</v>
      </c>
      <c r="B127" s="48" t="s">
        <v>1014</v>
      </c>
      <c r="C127" s="49" t="s">
        <v>1015</v>
      </c>
      <c r="D127" s="50" t="s">
        <v>21</v>
      </c>
    </row>
    <row r="128" customHeight="1" spans="1:4">
      <c r="A128" s="43">
        <v>125</v>
      </c>
      <c r="B128" s="142" t="s">
        <v>1016</v>
      </c>
      <c r="C128" s="57" t="s">
        <v>1017</v>
      </c>
      <c r="D128" s="50" t="s">
        <v>21</v>
      </c>
    </row>
    <row r="129" customHeight="1" spans="1:4">
      <c r="A129" s="43">
        <v>126</v>
      </c>
      <c r="B129" s="48" t="s">
        <v>1018</v>
      </c>
      <c r="C129" s="49" t="s">
        <v>1019</v>
      </c>
      <c r="D129" s="50" t="s">
        <v>21</v>
      </c>
    </row>
    <row r="130" customHeight="1" spans="1:4">
      <c r="A130" s="43">
        <v>127</v>
      </c>
      <c r="B130" s="48" t="s">
        <v>1020</v>
      </c>
      <c r="C130" s="49" t="s">
        <v>1021</v>
      </c>
      <c r="D130" s="50" t="s">
        <v>21</v>
      </c>
    </row>
    <row r="131" customHeight="1" spans="1:4">
      <c r="A131" s="43">
        <v>128</v>
      </c>
      <c r="B131" s="48" t="s">
        <v>1022</v>
      </c>
      <c r="C131" s="49" t="s">
        <v>1023</v>
      </c>
      <c r="D131" s="50" t="s">
        <v>991</v>
      </c>
    </row>
    <row r="132" customHeight="1" spans="1:4">
      <c r="A132" s="43">
        <v>129</v>
      </c>
      <c r="B132" s="48" t="s">
        <v>1024</v>
      </c>
      <c r="C132" s="49" t="s">
        <v>1025</v>
      </c>
      <c r="D132" s="50" t="s">
        <v>21</v>
      </c>
    </row>
    <row r="133" customHeight="1" spans="1:4">
      <c r="A133" s="43">
        <v>130</v>
      </c>
      <c r="B133" s="48" t="s">
        <v>1026</v>
      </c>
      <c r="C133" s="49" t="s">
        <v>1027</v>
      </c>
      <c r="D133" s="50" t="s">
        <v>21</v>
      </c>
    </row>
    <row r="134" customHeight="1" spans="1:4">
      <c r="A134" s="43">
        <v>131</v>
      </c>
      <c r="B134" s="48" t="s">
        <v>1028</v>
      </c>
      <c r="C134" s="49" t="s">
        <v>1029</v>
      </c>
      <c r="D134" s="50" t="s">
        <v>21</v>
      </c>
    </row>
    <row r="135" customHeight="1" spans="1:4">
      <c r="A135" s="43">
        <v>132</v>
      </c>
      <c r="B135" s="48" t="s">
        <v>1030</v>
      </c>
      <c r="C135" s="58" t="s">
        <v>1031</v>
      </c>
      <c r="D135" s="50" t="s">
        <v>21</v>
      </c>
    </row>
    <row r="136" customHeight="1" spans="1:4">
      <c r="A136" s="43">
        <v>133</v>
      </c>
      <c r="B136" s="48" t="s">
        <v>1032</v>
      </c>
      <c r="C136" s="58" t="s">
        <v>1033</v>
      </c>
      <c r="D136" s="50" t="s">
        <v>21</v>
      </c>
    </row>
    <row r="137" customHeight="1" spans="1:4">
      <c r="A137" s="43">
        <v>134</v>
      </c>
      <c r="B137" s="48" t="s">
        <v>1034</v>
      </c>
      <c r="C137" s="49" t="s">
        <v>1035</v>
      </c>
      <c r="D137" s="50" t="s">
        <v>21</v>
      </c>
    </row>
    <row r="138" customHeight="1" spans="1:4">
      <c r="A138" s="43">
        <v>135</v>
      </c>
      <c r="B138" s="48" t="s">
        <v>1036</v>
      </c>
      <c r="C138" s="49" t="s">
        <v>1037</v>
      </c>
      <c r="D138" s="50" t="s">
        <v>21</v>
      </c>
    </row>
    <row r="139" customHeight="1" spans="1:4">
      <c r="A139" s="43">
        <v>136</v>
      </c>
      <c r="B139" s="48" t="s">
        <v>1038</v>
      </c>
      <c r="C139" s="49" t="s">
        <v>1039</v>
      </c>
      <c r="D139" s="50" t="s">
        <v>21</v>
      </c>
    </row>
    <row r="140" customHeight="1" spans="1:4">
      <c r="A140" s="43">
        <v>137</v>
      </c>
      <c r="B140" s="48" t="s">
        <v>1040</v>
      </c>
      <c r="C140" s="49" t="s">
        <v>1041</v>
      </c>
      <c r="D140" s="50" t="s">
        <v>21</v>
      </c>
    </row>
    <row r="141" customHeight="1" spans="1:4">
      <c r="A141" s="43">
        <v>138</v>
      </c>
      <c r="B141" s="48" t="s">
        <v>1042</v>
      </c>
      <c r="C141" s="49" t="s">
        <v>1043</v>
      </c>
      <c r="D141" s="50" t="s">
        <v>21</v>
      </c>
    </row>
    <row r="142" customHeight="1" spans="1:4">
      <c r="A142" s="43">
        <v>139</v>
      </c>
      <c r="B142" s="48" t="s">
        <v>1044</v>
      </c>
      <c r="C142" s="49" t="s">
        <v>1045</v>
      </c>
      <c r="D142" s="50" t="s">
        <v>991</v>
      </c>
    </row>
    <row r="143" customHeight="1" spans="1:4">
      <c r="A143" s="43">
        <v>140</v>
      </c>
      <c r="B143" s="48" t="s">
        <v>1046</v>
      </c>
      <c r="C143" s="49" t="s">
        <v>1047</v>
      </c>
      <c r="D143" s="50" t="s">
        <v>21</v>
      </c>
    </row>
    <row r="144" customHeight="1" spans="1:4">
      <c r="A144" s="43">
        <v>141</v>
      </c>
      <c r="B144" s="48" t="s">
        <v>1048</v>
      </c>
      <c r="C144" s="49" t="s">
        <v>1049</v>
      </c>
      <c r="D144" s="50" t="s">
        <v>21</v>
      </c>
    </row>
    <row r="145" customHeight="1" spans="1:4">
      <c r="A145" s="43">
        <v>142</v>
      </c>
      <c r="B145" s="48" t="s">
        <v>1050</v>
      </c>
      <c r="C145" s="49" t="s">
        <v>1051</v>
      </c>
      <c r="D145" s="50" t="s">
        <v>21</v>
      </c>
    </row>
    <row r="146" customHeight="1" spans="1:4">
      <c r="A146" s="43">
        <v>143</v>
      </c>
      <c r="B146" s="48" t="s">
        <v>1052</v>
      </c>
      <c r="C146" s="49" t="s">
        <v>1053</v>
      </c>
      <c r="D146" s="50" t="s">
        <v>21</v>
      </c>
    </row>
    <row r="147" customHeight="1" spans="1:4">
      <c r="A147" s="43">
        <v>144</v>
      </c>
      <c r="B147" s="48" t="s">
        <v>1054</v>
      </c>
      <c r="C147" s="58" t="s">
        <v>1055</v>
      </c>
      <c r="D147" s="50" t="s">
        <v>991</v>
      </c>
    </row>
    <row r="148" customHeight="1" spans="1:4">
      <c r="A148" s="43">
        <v>145</v>
      </c>
      <c r="B148" s="142" t="s">
        <v>1056</v>
      </c>
      <c r="C148" s="58" t="s">
        <v>1057</v>
      </c>
      <c r="D148" s="50" t="s">
        <v>991</v>
      </c>
    </row>
    <row r="149" customHeight="1" spans="1:4">
      <c r="A149" s="43">
        <v>146</v>
      </c>
      <c r="B149" s="142" t="s">
        <v>1058</v>
      </c>
      <c r="C149" s="58" t="s">
        <v>1059</v>
      </c>
      <c r="D149" s="50" t="s">
        <v>991</v>
      </c>
    </row>
    <row r="150" customHeight="1" spans="1:4">
      <c r="A150" s="43">
        <v>147</v>
      </c>
      <c r="B150" s="48" t="s">
        <v>1060</v>
      </c>
      <c r="C150" s="49" t="s">
        <v>1061</v>
      </c>
      <c r="D150" s="50" t="s">
        <v>21</v>
      </c>
    </row>
    <row r="151" customHeight="1" spans="1:4">
      <c r="A151" s="43">
        <v>148</v>
      </c>
      <c r="B151" s="48" t="s">
        <v>1062</v>
      </c>
      <c r="C151" s="49" t="s">
        <v>1063</v>
      </c>
      <c r="D151" s="50" t="s">
        <v>21</v>
      </c>
    </row>
    <row r="152" customHeight="1" spans="1:4">
      <c r="A152" s="43">
        <v>149</v>
      </c>
      <c r="B152" s="48" t="s">
        <v>1064</v>
      </c>
      <c r="C152" s="49" t="s">
        <v>1065</v>
      </c>
      <c r="D152" s="50" t="s">
        <v>21</v>
      </c>
    </row>
    <row r="153" customHeight="1" spans="1:4">
      <c r="A153" s="43">
        <v>150</v>
      </c>
      <c r="B153" s="48" t="s">
        <v>1066</v>
      </c>
      <c r="C153" s="49" t="s">
        <v>1067</v>
      </c>
      <c r="D153" s="50" t="s">
        <v>21</v>
      </c>
    </row>
    <row r="154" customHeight="1" spans="1:4">
      <c r="A154" s="43">
        <v>151</v>
      </c>
      <c r="B154" s="48" t="s">
        <v>1068</v>
      </c>
      <c r="C154" s="49" t="s">
        <v>1069</v>
      </c>
      <c r="D154" s="50" t="s">
        <v>21</v>
      </c>
    </row>
    <row r="155" customHeight="1" spans="1:4">
      <c r="A155" s="43">
        <v>152</v>
      </c>
      <c r="B155" s="48" t="s">
        <v>1070</v>
      </c>
      <c r="C155" s="58" t="s">
        <v>1071</v>
      </c>
      <c r="D155" s="50" t="s">
        <v>792</v>
      </c>
    </row>
    <row r="156" customHeight="1" spans="1:4">
      <c r="A156" s="43">
        <v>153</v>
      </c>
      <c r="B156" s="48" t="s">
        <v>1072</v>
      </c>
      <c r="C156" s="58" t="s">
        <v>1073</v>
      </c>
      <c r="D156" s="50" t="s">
        <v>792</v>
      </c>
    </row>
    <row r="157" customHeight="1" spans="1:4">
      <c r="A157" s="43">
        <v>154</v>
      </c>
      <c r="B157" s="48" t="s">
        <v>1074</v>
      </c>
      <c r="C157" s="58" t="s">
        <v>1075</v>
      </c>
      <c r="D157" s="50" t="s">
        <v>21</v>
      </c>
    </row>
    <row r="158" customHeight="1" spans="1:4">
      <c r="A158" s="43">
        <v>155</v>
      </c>
      <c r="B158" s="48" t="s">
        <v>1076</v>
      </c>
      <c r="C158" s="49" t="s">
        <v>1077</v>
      </c>
      <c r="D158" s="50" t="s">
        <v>21</v>
      </c>
    </row>
    <row r="159" customHeight="1" spans="1:4">
      <c r="A159" s="43">
        <v>156</v>
      </c>
      <c r="B159" s="48" t="s">
        <v>1078</v>
      </c>
      <c r="C159" s="49" t="s">
        <v>1079</v>
      </c>
      <c r="D159" s="50" t="s">
        <v>21</v>
      </c>
    </row>
    <row r="160" customHeight="1" spans="1:4">
      <c r="A160" s="43">
        <v>157</v>
      </c>
      <c r="B160" s="48" t="s">
        <v>1080</v>
      </c>
      <c r="C160" s="49" t="s">
        <v>1081</v>
      </c>
      <c r="D160" s="50" t="s">
        <v>21</v>
      </c>
    </row>
    <row r="161" customHeight="1" spans="1:4">
      <c r="A161" s="43">
        <v>158</v>
      </c>
      <c r="B161" s="48" t="s">
        <v>1082</v>
      </c>
      <c r="C161" s="49" t="s">
        <v>1083</v>
      </c>
      <c r="D161" s="50" t="s">
        <v>21</v>
      </c>
    </row>
    <row r="162" customHeight="1" spans="1:4">
      <c r="A162" s="43">
        <v>159</v>
      </c>
      <c r="B162" s="48" t="s">
        <v>1084</v>
      </c>
      <c r="C162" s="49" t="s">
        <v>1085</v>
      </c>
      <c r="D162" s="50" t="s">
        <v>21</v>
      </c>
    </row>
    <row r="163" customHeight="1" spans="1:4">
      <c r="A163" s="43">
        <v>160</v>
      </c>
      <c r="B163" s="48" t="s">
        <v>1086</v>
      </c>
      <c r="C163" s="49" t="s">
        <v>1087</v>
      </c>
      <c r="D163" s="50" t="s">
        <v>21</v>
      </c>
    </row>
    <row r="164" customHeight="1" spans="1:4">
      <c r="A164" s="43">
        <v>161</v>
      </c>
      <c r="B164" s="48" t="s">
        <v>1088</v>
      </c>
      <c r="C164" s="49" t="s">
        <v>1089</v>
      </c>
      <c r="D164" s="50" t="s">
        <v>21</v>
      </c>
    </row>
    <row r="165" customHeight="1" spans="1:4">
      <c r="A165" s="43">
        <v>162</v>
      </c>
      <c r="B165" s="48" t="s">
        <v>1090</v>
      </c>
      <c r="C165" s="49" t="s">
        <v>1091</v>
      </c>
      <c r="D165" s="50" t="s">
        <v>21</v>
      </c>
    </row>
    <row r="166" customHeight="1" spans="1:4">
      <c r="A166" s="43">
        <v>163</v>
      </c>
      <c r="B166" s="48" t="s">
        <v>1092</v>
      </c>
      <c r="C166" s="49" t="s">
        <v>1093</v>
      </c>
      <c r="D166" s="50" t="s">
        <v>21</v>
      </c>
    </row>
    <row r="167" customHeight="1" spans="1:4">
      <c r="A167" s="43">
        <v>164</v>
      </c>
      <c r="B167" s="48" t="s">
        <v>1094</v>
      </c>
      <c r="C167" s="49" t="s">
        <v>1095</v>
      </c>
      <c r="D167" s="50" t="s">
        <v>21</v>
      </c>
    </row>
    <row r="168" customHeight="1" spans="1:4">
      <c r="A168" s="43">
        <v>165</v>
      </c>
      <c r="B168" s="48" t="s">
        <v>1096</v>
      </c>
      <c r="C168" s="49" t="s">
        <v>1097</v>
      </c>
      <c r="D168" s="50" t="s">
        <v>21</v>
      </c>
    </row>
    <row r="169" customHeight="1" spans="1:4">
      <c r="A169" s="43">
        <v>166</v>
      </c>
      <c r="B169" s="48" t="s">
        <v>1098</v>
      </c>
      <c r="C169" s="49" t="s">
        <v>1099</v>
      </c>
      <c r="D169" s="50" t="s">
        <v>21</v>
      </c>
    </row>
    <row r="170" customHeight="1" spans="1:4">
      <c r="A170" s="43">
        <v>167</v>
      </c>
      <c r="B170" s="48" t="s">
        <v>1100</v>
      </c>
      <c r="C170" s="49" t="s">
        <v>1101</v>
      </c>
      <c r="D170" s="50" t="s">
        <v>21</v>
      </c>
    </row>
    <row r="171" customHeight="1" spans="1:4">
      <c r="A171" s="43">
        <v>168</v>
      </c>
      <c r="B171" s="48" t="s">
        <v>1102</v>
      </c>
      <c r="C171" s="49" t="s">
        <v>1103</v>
      </c>
      <c r="D171" s="50" t="s">
        <v>21</v>
      </c>
    </row>
    <row r="172" customHeight="1" spans="1:4">
      <c r="A172" s="43">
        <v>169</v>
      </c>
      <c r="B172" s="51" t="s">
        <v>1104</v>
      </c>
      <c r="C172" s="59" t="s">
        <v>1105</v>
      </c>
      <c r="D172" s="60" t="s">
        <v>21</v>
      </c>
    </row>
    <row r="173" customHeight="1" spans="1:4">
      <c r="A173" s="43">
        <v>170</v>
      </c>
      <c r="B173" s="51" t="s">
        <v>1106</v>
      </c>
      <c r="C173" s="59" t="s">
        <v>1107</v>
      </c>
      <c r="D173" s="60" t="s">
        <v>21</v>
      </c>
    </row>
    <row r="174" customHeight="1" spans="1:4">
      <c r="A174" s="43">
        <v>171</v>
      </c>
      <c r="B174" s="48" t="s">
        <v>1108</v>
      </c>
      <c r="C174" s="58" t="s">
        <v>1109</v>
      </c>
      <c r="D174" s="50" t="s">
        <v>21</v>
      </c>
    </row>
    <row r="175" customHeight="1" spans="1:4">
      <c r="A175" s="43">
        <v>172</v>
      </c>
      <c r="B175" s="48" t="s">
        <v>1110</v>
      </c>
      <c r="C175" s="49" t="s">
        <v>1111</v>
      </c>
      <c r="D175" s="50" t="s">
        <v>21</v>
      </c>
    </row>
    <row r="176" customHeight="1" spans="1:4">
      <c r="A176" s="43">
        <v>173</v>
      </c>
      <c r="B176" s="142" t="s">
        <v>1112</v>
      </c>
      <c r="C176" s="49" t="s">
        <v>1113</v>
      </c>
      <c r="D176" s="50" t="s">
        <v>991</v>
      </c>
    </row>
    <row r="177" customHeight="1" spans="1:4">
      <c r="A177" s="43">
        <v>174</v>
      </c>
      <c r="B177" s="48" t="s">
        <v>1114</v>
      </c>
      <c r="C177" s="49" t="s">
        <v>1115</v>
      </c>
      <c r="D177" s="50" t="s">
        <v>991</v>
      </c>
    </row>
    <row r="178" customHeight="1" spans="1:4">
      <c r="A178" s="43">
        <v>175</v>
      </c>
      <c r="B178" s="48" t="s">
        <v>1116</v>
      </c>
      <c r="C178" s="58" t="s">
        <v>1117</v>
      </c>
      <c r="D178" s="50" t="s">
        <v>21</v>
      </c>
    </row>
    <row r="179" customHeight="1" spans="1:4">
      <c r="A179" s="43">
        <v>176</v>
      </c>
      <c r="B179" s="48" t="s">
        <v>1118</v>
      </c>
      <c r="C179" s="49" t="s">
        <v>1119</v>
      </c>
      <c r="D179" s="50" t="s">
        <v>21</v>
      </c>
    </row>
    <row r="180" customHeight="1" spans="1:4">
      <c r="A180" s="43">
        <v>177</v>
      </c>
      <c r="B180" s="48" t="s">
        <v>1120</v>
      </c>
      <c r="C180" s="58" t="s">
        <v>1121</v>
      </c>
      <c r="D180" s="50" t="s">
        <v>21</v>
      </c>
    </row>
    <row r="181" customHeight="1" spans="1:4">
      <c r="A181" s="43">
        <v>178</v>
      </c>
      <c r="B181" s="48" t="s">
        <v>1122</v>
      </c>
      <c r="C181" s="58" t="s">
        <v>1123</v>
      </c>
      <c r="D181" s="50" t="s">
        <v>21</v>
      </c>
    </row>
    <row r="182" customHeight="1" spans="1:4">
      <c r="A182" s="43">
        <v>179</v>
      </c>
      <c r="B182" s="48" t="s">
        <v>1124</v>
      </c>
      <c r="C182" s="58" t="s">
        <v>1125</v>
      </c>
      <c r="D182" s="50" t="s">
        <v>21</v>
      </c>
    </row>
    <row r="183" customHeight="1" spans="1:4">
      <c r="A183" s="43">
        <v>180</v>
      </c>
      <c r="B183" s="48" t="s">
        <v>1126</v>
      </c>
      <c r="C183" s="58" t="s">
        <v>1127</v>
      </c>
      <c r="D183" s="50" t="s">
        <v>21</v>
      </c>
    </row>
    <row r="184" customHeight="1" spans="1:4">
      <c r="A184" s="43">
        <v>181</v>
      </c>
      <c r="B184" s="48" t="s">
        <v>1128</v>
      </c>
      <c r="C184" s="58" t="s">
        <v>1129</v>
      </c>
      <c r="D184" s="50" t="s">
        <v>21</v>
      </c>
    </row>
    <row r="185" customHeight="1" spans="1:4">
      <c r="A185" s="43">
        <v>182</v>
      </c>
      <c r="B185" s="48" t="s">
        <v>1130</v>
      </c>
      <c r="C185" s="49" t="s">
        <v>1131</v>
      </c>
      <c r="D185" s="50" t="s">
        <v>21</v>
      </c>
    </row>
    <row r="186" customHeight="1" spans="1:4">
      <c r="A186" s="43">
        <v>183</v>
      </c>
      <c r="B186" s="48" t="s">
        <v>1132</v>
      </c>
      <c r="C186" s="58" t="s">
        <v>1133</v>
      </c>
      <c r="D186" s="50" t="s">
        <v>991</v>
      </c>
    </row>
    <row r="187" customHeight="1" spans="1:4">
      <c r="A187" s="43">
        <v>184</v>
      </c>
      <c r="B187" s="48" t="s">
        <v>1134</v>
      </c>
      <c r="C187" s="58" t="s">
        <v>1135</v>
      </c>
      <c r="D187" s="50" t="s">
        <v>21</v>
      </c>
    </row>
    <row r="188" customHeight="1" spans="1:4">
      <c r="A188" s="43">
        <v>185</v>
      </c>
      <c r="B188" s="48" t="s">
        <v>1136</v>
      </c>
      <c r="C188" s="58" t="s">
        <v>1137</v>
      </c>
      <c r="D188" s="50" t="s">
        <v>21</v>
      </c>
    </row>
    <row r="189" customHeight="1" spans="1:4">
      <c r="A189" s="43">
        <v>186</v>
      </c>
      <c r="B189" s="48" t="s">
        <v>1138</v>
      </c>
      <c r="C189" s="58" t="s">
        <v>1139</v>
      </c>
      <c r="D189" s="50" t="s">
        <v>21</v>
      </c>
    </row>
    <row r="190" customHeight="1" spans="1:4">
      <c r="A190" s="43">
        <v>187</v>
      </c>
      <c r="B190" s="48" t="s">
        <v>1140</v>
      </c>
      <c r="C190" s="58" t="s">
        <v>1141</v>
      </c>
      <c r="D190" s="50" t="s">
        <v>21</v>
      </c>
    </row>
    <row r="191" customHeight="1" spans="1:4">
      <c r="A191" s="43">
        <v>188</v>
      </c>
      <c r="B191" s="142" t="s">
        <v>1142</v>
      </c>
      <c r="C191" s="58" t="s">
        <v>1143</v>
      </c>
      <c r="D191" s="50" t="s">
        <v>21</v>
      </c>
    </row>
    <row r="192" customHeight="1" spans="1:4">
      <c r="A192" s="43">
        <v>189</v>
      </c>
      <c r="B192" s="142" t="s">
        <v>1144</v>
      </c>
      <c r="C192" s="58" t="s">
        <v>1145</v>
      </c>
      <c r="D192" s="50" t="s">
        <v>21</v>
      </c>
    </row>
    <row r="193" customHeight="1" spans="1:4">
      <c r="A193" s="43">
        <v>190</v>
      </c>
      <c r="B193" s="142" t="s">
        <v>1146</v>
      </c>
      <c r="C193" s="58" t="s">
        <v>1147</v>
      </c>
      <c r="D193" s="50" t="s">
        <v>21</v>
      </c>
    </row>
    <row r="194" customHeight="1" spans="1:4">
      <c r="A194" s="43">
        <v>191</v>
      </c>
      <c r="B194" s="48" t="s">
        <v>1148</v>
      </c>
      <c r="C194" s="58" t="s">
        <v>1149</v>
      </c>
      <c r="D194" s="50" t="s">
        <v>21</v>
      </c>
    </row>
    <row r="195" customHeight="1" spans="1:4">
      <c r="A195" s="43">
        <v>192</v>
      </c>
      <c r="B195" s="48" t="s">
        <v>1150</v>
      </c>
      <c r="C195" s="58" t="s">
        <v>1151</v>
      </c>
      <c r="D195" s="50" t="s">
        <v>21</v>
      </c>
    </row>
    <row r="196" customHeight="1" spans="1:4">
      <c r="A196" s="43">
        <v>193</v>
      </c>
      <c r="B196" s="48" t="s">
        <v>1152</v>
      </c>
      <c r="C196" s="58" t="s">
        <v>1153</v>
      </c>
      <c r="D196" s="50" t="s">
        <v>21</v>
      </c>
    </row>
    <row r="197" customHeight="1" spans="1:4">
      <c r="A197" s="43">
        <v>194</v>
      </c>
      <c r="B197" s="48" t="s">
        <v>1154</v>
      </c>
      <c r="C197" s="58" t="s">
        <v>1155</v>
      </c>
      <c r="D197" s="50" t="s">
        <v>21</v>
      </c>
    </row>
    <row r="198" customHeight="1" spans="1:4">
      <c r="A198" s="43">
        <v>195</v>
      </c>
      <c r="B198" s="48" t="s">
        <v>1156</v>
      </c>
      <c r="C198" s="58" t="s">
        <v>1157</v>
      </c>
      <c r="D198" s="50" t="s">
        <v>21</v>
      </c>
    </row>
    <row r="199" customHeight="1" spans="1:4">
      <c r="A199" s="43">
        <v>196</v>
      </c>
      <c r="B199" s="142" t="s">
        <v>1158</v>
      </c>
      <c r="C199" s="58" t="s">
        <v>1159</v>
      </c>
      <c r="D199" s="50" t="s">
        <v>21</v>
      </c>
    </row>
    <row r="200" customHeight="1" spans="1:4">
      <c r="A200" s="43">
        <v>197</v>
      </c>
      <c r="B200" s="48" t="s">
        <v>1160</v>
      </c>
      <c r="C200" s="58" t="s">
        <v>1161</v>
      </c>
      <c r="D200" s="50" t="s">
        <v>21</v>
      </c>
    </row>
    <row r="201" customHeight="1" spans="1:4">
      <c r="A201" s="43">
        <v>198</v>
      </c>
      <c r="B201" s="48" t="s">
        <v>1162</v>
      </c>
      <c r="C201" s="58" t="s">
        <v>1163</v>
      </c>
      <c r="D201" s="50" t="s">
        <v>21</v>
      </c>
    </row>
    <row r="202" customHeight="1" spans="1:4">
      <c r="A202" s="43">
        <v>199</v>
      </c>
      <c r="B202" s="48" t="s">
        <v>1164</v>
      </c>
      <c r="C202" s="58" t="s">
        <v>1165</v>
      </c>
      <c r="D202" s="50" t="s">
        <v>21</v>
      </c>
    </row>
    <row r="203" customHeight="1" spans="1:4">
      <c r="A203" s="43">
        <v>200</v>
      </c>
      <c r="B203" s="48" t="s">
        <v>1166</v>
      </c>
      <c r="C203" s="57" t="s">
        <v>1167</v>
      </c>
      <c r="D203" s="50" t="s">
        <v>21</v>
      </c>
    </row>
    <row r="204" customHeight="1" spans="1:4">
      <c r="A204" s="43">
        <v>201</v>
      </c>
      <c r="B204" s="48" t="s">
        <v>1168</v>
      </c>
      <c r="C204" s="58" t="s">
        <v>1169</v>
      </c>
      <c r="D204" s="50" t="s">
        <v>21</v>
      </c>
    </row>
    <row r="205" customHeight="1" spans="1:4">
      <c r="A205" s="43">
        <v>202</v>
      </c>
      <c r="B205" s="48" t="s">
        <v>1170</v>
      </c>
      <c r="C205" s="61" t="s">
        <v>1171</v>
      </c>
      <c r="D205" s="50"/>
    </row>
    <row r="206" customHeight="1" spans="1:4">
      <c r="A206" s="43">
        <v>203</v>
      </c>
      <c r="B206" s="48" t="s">
        <v>1172</v>
      </c>
      <c r="C206" s="57" t="s">
        <v>1173</v>
      </c>
      <c r="D206" s="50" t="s">
        <v>21</v>
      </c>
    </row>
    <row r="207" customHeight="1" spans="1:4">
      <c r="A207" s="43">
        <v>204</v>
      </c>
      <c r="B207" s="48" t="s">
        <v>1174</v>
      </c>
      <c r="C207" s="58" t="s">
        <v>1175</v>
      </c>
      <c r="D207" s="50" t="s">
        <v>21</v>
      </c>
    </row>
    <row r="208" customHeight="1" spans="1:4">
      <c r="A208" s="43">
        <v>205</v>
      </c>
      <c r="B208" s="48" t="s">
        <v>1176</v>
      </c>
      <c r="C208" s="58" t="s">
        <v>1177</v>
      </c>
      <c r="D208" s="50" t="s">
        <v>21</v>
      </c>
    </row>
    <row r="209" customHeight="1" spans="1:4">
      <c r="A209" s="43">
        <v>206</v>
      </c>
      <c r="B209" s="50" t="s">
        <v>1178</v>
      </c>
      <c r="C209" s="49" t="s">
        <v>1179</v>
      </c>
      <c r="D209" s="60" t="s">
        <v>21</v>
      </c>
    </row>
    <row r="210" customHeight="1" spans="1:4">
      <c r="A210" s="43">
        <v>207</v>
      </c>
      <c r="B210" s="48" t="s">
        <v>1180</v>
      </c>
      <c r="C210" s="58" t="s">
        <v>1181</v>
      </c>
      <c r="D210" s="50" t="s">
        <v>21</v>
      </c>
    </row>
    <row r="211" customHeight="1" spans="1:4">
      <c r="A211" s="43">
        <v>208</v>
      </c>
      <c r="B211" s="48" t="s">
        <v>1182</v>
      </c>
      <c r="C211" s="58" t="s">
        <v>1183</v>
      </c>
      <c r="D211" s="50" t="s">
        <v>21</v>
      </c>
    </row>
    <row r="212" customHeight="1" spans="1:4">
      <c r="A212" s="43">
        <v>209</v>
      </c>
      <c r="B212" s="48" t="s">
        <v>1184</v>
      </c>
      <c r="C212" s="58" t="s">
        <v>1185</v>
      </c>
      <c r="D212" s="50" t="s">
        <v>21</v>
      </c>
    </row>
    <row r="213" customHeight="1" spans="1:4">
      <c r="A213" s="43">
        <v>210</v>
      </c>
      <c r="B213" s="48" t="s">
        <v>1186</v>
      </c>
      <c r="C213" s="58" t="s">
        <v>1187</v>
      </c>
      <c r="D213" s="50" t="s">
        <v>21</v>
      </c>
    </row>
    <row r="214" customHeight="1" spans="1:4">
      <c r="A214" s="43">
        <v>211</v>
      </c>
      <c r="B214" s="48" t="s">
        <v>1188</v>
      </c>
      <c r="C214" s="58" t="s">
        <v>1189</v>
      </c>
      <c r="D214" s="50" t="s">
        <v>21</v>
      </c>
    </row>
    <row r="215" customHeight="1" spans="1:4">
      <c r="A215" s="43">
        <v>212</v>
      </c>
      <c r="B215" s="48" t="s">
        <v>1190</v>
      </c>
      <c r="C215" s="58" t="s">
        <v>1191</v>
      </c>
      <c r="D215" s="50" t="s">
        <v>21</v>
      </c>
    </row>
    <row r="216" customHeight="1" spans="1:4">
      <c r="A216" s="43">
        <v>213</v>
      </c>
      <c r="B216" s="48" t="s">
        <v>1192</v>
      </c>
      <c r="C216" s="58" t="s">
        <v>1193</v>
      </c>
      <c r="D216" s="50" t="s">
        <v>21</v>
      </c>
    </row>
    <row r="217" customHeight="1" spans="1:4">
      <c r="A217" s="43">
        <v>214</v>
      </c>
      <c r="B217" s="48" t="s">
        <v>1194</v>
      </c>
      <c r="C217" s="58" t="s">
        <v>1195</v>
      </c>
      <c r="D217" s="50" t="s">
        <v>21</v>
      </c>
    </row>
    <row r="218" customHeight="1" spans="1:4">
      <c r="A218" s="43">
        <v>215</v>
      </c>
      <c r="B218" s="142" t="s">
        <v>1196</v>
      </c>
      <c r="C218" s="58" t="s">
        <v>1197</v>
      </c>
      <c r="D218" s="50" t="s">
        <v>21</v>
      </c>
    </row>
    <row r="219" customHeight="1" spans="1:4">
      <c r="A219" s="43">
        <v>216</v>
      </c>
      <c r="B219" s="51" t="s">
        <v>1198</v>
      </c>
      <c r="C219" s="59" t="s">
        <v>1199</v>
      </c>
      <c r="D219" s="60" t="s">
        <v>21</v>
      </c>
    </row>
    <row r="220" customHeight="1" spans="1:4">
      <c r="A220" s="43">
        <v>217</v>
      </c>
      <c r="B220" s="142" t="s">
        <v>1200</v>
      </c>
      <c r="C220" s="58" t="s">
        <v>1201</v>
      </c>
      <c r="D220" s="50" t="s">
        <v>21</v>
      </c>
    </row>
    <row r="221" customHeight="1" spans="1:4">
      <c r="A221" s="43">
        <v>218</v>
      </c>
      <c r="B221" s="142" t="s">
        <v>1202</v>
      </c>
      <c r="C221" s="58" t="s">
        <v>1203</v>
      </c>
      <c r="D221" s="50" t="s">
        <v>21</v>
      </c>
    </row>
    <row r="222" customHeight="1" spans="1:4">
      <c r="A222" s="43">
        <v>219</v>
      </c>
      <c r="B222" s="142" t="s">
        <v>1204</v>
      </c>
      <c r="C222" s="58" t="s">
        <v>1205</v>
      </c>
      <c r="D222" s="50" t="s">
        <v>21</v>
      </c>
    </row>
    <row r="223" customHeight="1" spans="1:4">
      <c r="A223" s="43">
        <v>220</v>
      </c>
      <c r="B223" s="142" t="s">
        <v>1206</v>
      </c>
      <c r="C223" s="58" t="s">
        <v>1207</v>
      </c>
      <c r="D223" s="50" t="s">
        <v>21</v>
      </c>
    </row>
    <row r="224" customHeight="1" spans="1:4">
      <c r="A224" s="43">
        <v>221</v>
      </c>
      <c r="B224" s="48" t="s">
        <v>1208</v>
      </c>
      <c r="C224" s="58" t="s">
        <v>1209</v>
      </c>
      <c r="D224" s="50" t="s">
        <v>21</v>
      </c>
    </row>
    <row r="225" customHeight="1" spans="1:4">
      <c r="A225" s="43">
        <v>222</v>
      </c>
      <c r="B225" s="142" t="s">
        <v>1210</v>
      </c>
      <c r="C225" s="58" t="s">
        <v>1211</v>
      </c>
      <c r="D225" s="50" t="s">
        <v>991</v>
      </c>
    </row>
    <row r="226" customHeight="1" spans="1:4">
      <c r="A226" s="43">
        <v>223</v>
      </c>
      <c r="B226" s="142" t="s">
        <v>1212</v>
      </c>
      <c r="C226" s="58" t="s">
        <v>1213</v>
      </c>
      <c r="D226" s="50" t="s">
        <v>991</v>
      </c>
    </row>
    <row r="227" customHeight="1" spans="1:4">
      <c r="A227" s="43">
        <v>224</v>
      </c>
      <c r="B227" s="142" t="s">
        <v>1214</v>
      </c>
      <c r="C227" s="58" t="s">
        <v>1215</v>
      </c>
      <c r="D227" s="50" t="s">
        <v>21</v>
      </c>
    </row>
    <row r="228" customHeight="1" spans="1:4">
      <c r="A228" s="43">
        <v>225</v>
      </c>
      <c r="B228" s="142" t="s">
        <v>1216</v>
      </c>
      <c r="C228" s="58" t="s">
        <v>1217</v>
      </c>
      <c r="D228" s="50" t="s">
        <v>21</v>
      </c>
    </row>
    <row r="229" customHeight="1" spans="1:4">
      <c r="A229" s="43">
        <v>226</v>
      </c>
      <c r="B229" s="142" t="s">
        <v>1218</v>
      </c>
      <c r="C229" s="58" t="s">
        <v>1219</v>
      </c>
      <c r="D229" s="50" t="s">
        <v>21</v>
      </c>
    </row>
    <row r="230" customHeight="1" spans="1:4">
      <c r="A230" s="43">
        <v>227</v>
      </c>
      <c r="B230" s="142" t="s">
        <v>1220</v>
      </c>
      <c r="C230" s="58" t="s">
        <v>1221</v>
      </c>
      <c r="D230" s="50" t="s">
        <v>21</v>
      </c>
    </row>
    <row r="231" customHeight="1" spans="1:4">
      <c r="A231" s="43">
        <v>228</v>
      </c>
      <c r="B231" s="142" t="s">
        <v>1222</v>
      </c>
      <c r="C231" s="58" t="s">
        <v>1223</v>
      </c>
      <c r="D231" s="50" t="s">
        <v>21</v>
      </c>
    </row>
    <row r="232" customHeight="1" spans="1:4">
      <c r="A232" s="43">
        <v>229</v>
      </c>
      <c r="B232" s="142" t="s">
        <v>1224</v>
      </c>
      <c r="C232" s="58" t="s">
        <v>1225</v>
      </c>
      <c r="D232" s="50" t="s">
        <v>21</v>
      </c>
    </row>
    <row r="233" customHeight="1" spans="1:4">
      <c r="A233" s="43">
        <v>230</v>
      </c>
      <c r="B233" s="142" t="s">
        <v>1226</v>
      </c>
      <c r="C233" s="58" t="s">
        <v>1227</v>
      </c>
      <c r="D233" s="50" t="s">
        <v>21</v>
      </c>
    </row>
    <row r="234" customHeight="1" spans="1:4">
      <c r="A234" s="43">
        <v>231</v>
      </c>
      <c r="B234" s="142" t="s">
        <v>1228</v>
      </c>
      <c r="C234" s="58" t="s">
        <v>1229</v>
      </c>
      <c r="D234" s="50" t="s">
        <v>21</v>
      </c>
    </row>
    <row r="235" customHeight="1" spans="1:4">
      <c r="A235" s="43">
        <v>232</v>
      </c>
      <c r="B235" s="142" t="s">
        <v>1230</v>
      </c>
      <c r="C235" s="58" t="s">
        <v>1231</v>
      </c>
      <c r="D235" s="50" t="s">
        <v>21</v>
      </c>
    </row>
    <row r="236" customHeight="1" spans="1:4">
      <c r="A236" s="43">
        <v>233</v>
      </c>
      <c r="B236" s="142" t="s">
        <v>1232</v>
      </c>
      <c r="C236" s="58" t="s">
        <v>1233</v>
      </c>
      <c r="D236" s="50" t="s">
        <v>21</v>
      </c>
    </row>
    <row r="237" customHeight="1" spans="1:4">
      <c r="A237" s="43">
        <v>234</v>
      </c>
      <c r="B237" s="51" t="s">
        <v>1234</v>
      </c>
      <c r="C237" s="59" t="s">
        <v>1235</v>
      </c>
      <c r="D237" s="60" t="s">
        <v>21</v>
      </c>
    </row>
    <row r="238" customHeight="1" spans="1:4">
      <c r="A238" s="43">
        <v>235</v>
      </c>
      <c r="B238" s="142" t="s">
        <v>1236</v>
      </c>
      <c r="C238" s="58" t="s">
        <v>1237</v>
      </c>
      <c r="D238" s="50" t="s">
        <v>21</v>
      </c>
    </row>
    <row r="239" customHeight="1" spans="1:4">
      <c r="A239" s="43">
        <v>236</v>
      </c>
      <c r="B239" s="142" t="s">
        <v>1238</v>
      </c>
      <c r="C239" s="58" t="s">
        <v>1239</v>
      </c>
      <c r="D239" s="50" t="s">
        <v>21</v>
      </c>
    </row>
    <row r="240" customHeight="1" spans="1:4">
      <c r="A240" s="43">
        <v>237</v>
      </c>
      <c r="B240" s="142" t="s">
        <v>1240</v>
      </c>
      <c r="C240" s="58" t="s">
        <v>1241</v>
      </c>
      <c r="D240" s="50" t="s">
        <v>21</v>
      </c>
    </row>
    <row r="241" customHeight="1" spans="1:4">
      <c r="A241" s="43">
        <v>238</v>
      </c>
      <c r="B241" s="142" t="s">
        <v>1242</v>
      </c>
      <c r="C241" s="58" t="s">
        <v>1243</v>
      </c>
      <c r="D241" s="50" t="s">
        <v>21</v>
      </c>
    </row>
    <row r="242" customHeight="1" spans="1:4">
      <c r="A242" s="43">
        <v>239</v>
      </c>
      <c r="B242" s="142" t="s">
        <v>1244</v>
      </c>
      <c r="C242" s="58" t="s">
        <v>1245</v>
      </c>
      <c r="D242" s="50" t="s">
        <v>21</v>
      </c>
    </row>
    <row r="243" customHeight="1" spans="1:4">
      <c r="A243" s="43">
        <v>240</v>
      </c>
      <c r="B243" s="142" t="s">
        <v>1246</v>
      </c>
      <c r="C243" s="58" t="s">
        <v>1247</v>
      </c>
      <c r="D243" s="50" t="s">
        <v>21</v>
      </c>
    </row>
    <row r="244" customHeight="1" spans="1:4">
      <c r="A244" s="43">
        <v>241</v>
      </c>
      <c r="B244" s="142" t="s">
        <v>1248</v>
      </c>
      <c r="C244" s="58" t="s">
        <v>1249</v>
      </c>
      <c r="D244" s="50" t="s">
        <v>21</v>
      </c>
    </row>
    <row r="245" customHeight="1" spans="1:4">
      <c r="A245" s="43">
        <v>242</v>
      </c>
      <c r="B245" s="142" t="s">
        <v>1250</v>
      </c>
      <c r="C245" s="58" t="s">
        <v>1251</v>
      </c>
      <c r="D245" s="50" t="s">
        <v>21</v>
      </c>
    </row>
    <row r="246" customHeight="1" spans="1:4">
      <c r="A246" s="43">
        <v>243</v>
      </c>
      <c r="B246" s="48" t="s">
        <v>1252</v>
      </c>
      <c r="C246" s="58" t="s">
        <v>1253</v>
      </c>
      <c r="D246" s="50" t="s">
        <v>21</v>
      </c>
    </row>
    <row r="247" customHeight="1" spans="1:4">
      <c r="A247" s="43">
        <v>244</v>
      </c>
      <c r="B247" s="142" t="s">
        <v>1254</v>
      </c>
      <c r="C247" s="58" t="s">
        <v>1255</v>
      </c>
      <c r="D247" s="50" t="s">
        <v>991</v>
      </c>
    </row>
    <row r="248" customHeight="1" spans="1:4">
      <c r="A248" s="43">
        <v>245</v>
      </c>
      <c r="B248" s="142" t="s">
        <v>1256</v>
      </c>
      <c r="C248" s="58" t="s">
        <v>1257</v>
      </c>
      <c r="D248" s="50" t="s">
        <v>21</v>
      </c>
    </row>
    <row r="249" customHeight="1" spans="1:4">
      <c r="A249" s="43">
        <v>246</v>
      </c>
      <c r="B249" s="142" t="s">
        <v>1258</v>
      </c>
      <c r="C249" s="58" t="s">
        <v>1259</v>
      </c>
      <c r="D249" s="50" t="s">
        <v>21</v>
      </c>
    </row>
    <row r="250" customHeight="1" spans="1:4">
      <c r="A250" s="43">
        <v>247</v>
      </c>
      <c r="B250" s="142" t="s">
        <v>1260</v>
      </c>
      <c r="C250" s="58" t="s">
        <v>1261</v>
      </c>
      <c r="D250" s="50" t="s">
        <v>21</v>
      </c>
    </row>
    <row r="251" customHeight="1" spans="1:4">
      <c r="A251" s="43">
        <v>248</v>
      </c>
      <c r="B251" s="142" t="s">
        <v>1262</v>
      </c>
      <c r="C251" s="58" t="s">
        <v>1263</v>
      </c>
      <c r="D251" s="50" t="s">
        <v>21</v>
      </c>
    </row>
    <row r="252" customHeight="1" spans="1:4">
      <c r="A252" s="43">
        <v>249</v>
      </c>
      <c r="B252" s="142" t="s">
        <v>1264</v>
      </c>
      <c r="C252" s="58" t="s">
        <v>1265</v>
      </c>
      <c r="D252" s="50" t="s">
        <v>21</v>
      </c>
    </row>
    <row r="253" customHeight="1" spans="1:4">
      <c r="A253" s="43">
        <v>250</v>
      </c>
      <c r="B253" s="48" t="s">
        <v>1266</v>
      </c>
      <c r="C253" s="58" t="s">
        <v>1267</v>
      </c>
      <c r="D253" s="50" t="s">
        <v>21</v>
      </c>
    </row>
    <row r="254" customHeight="1" spans="1:4">
      <c r="A254" s="43">
        <v>251</v>
      </c>
      <c r="B254" s="48" t="s">
        <v>1268</v>
      </c>
      <c r="C254" s="58" t="s">
        <v>1269</v>
      </c>
      <c r="D254" s="50" t="s">
        <v>21</v>
      </c>
    </row>
    <row r="255" customHeight="1" spans="1:4">
      <c r="A255" s="43">
        <v>252</v>
      </c>
      <c r="B255" s="48" t="s">
        <v>1270</v>
      </c>
      <c r="C255" s="58" t="s">
        <v>1271</v>
      </c>
      <c r="D255" s="50" t="s">
        <v>21</v>
      </c>
    </row>
    <row r="256" customHeight="1" spans="1:4">
      <c r="A256" s="43">
        <v>253</v>
      </c>
      <c r="B256" s="48" t="s">
        <v>1272</v>
      </c>
      <c r="C256" s="58" t="s">
        <v>1273</v>
      </c>
      <c r="D256" s="50" t="s">
        <v>21</v>
      </c>
    </row>
    <row r="257" customHeight="1" spans="1:4">
      <c r="A257" s="43">
        <v>254</v>
      </c>
      <c r="B257" s="48" t="s">
        <v>1274</v>
      </c>
      <c r="C257" s="58" t="s">
        <v>1275</v>
      </c>
      <c r="D257" s="50" t="s">
        <v>21</v>
      </c>
    </row>
    <row r="258" customHeight="1" spans="1:4">
      <c r="A258" s="43">
        <v>255</v>
      </c>
      <c r="B258" s="48" t="s">
        <v>1276</v>
      </c>
      <c r="C258" s="58" t="s">
        <v>1277</v>
      </c>
      <c r="D258" s="50" t="s">
        <v>21</v>
      </c>
    </row>
    <row r="259" customHeight="1" spans="1:4">
      <c r="A259" s="43">
        <v>256</v>
      </c>
      <c r="B259" s="48" t="s">
        <v>1278</v>
      </c>
      <c r="C259" s="58" t="s">
        <v>1279</v>
      </c>
      <c r="D259" s="50" t="s">
        <v>21</v>
      </c>
    </row>
    <row r="260" customHeight="1" spans="1:4">
      <c r="A260" s="43">
        <v>257</v>
      </c>
      <c r="B260" s="51" t="s">
        <v>1280</v>
      </c>
      <c r="C260" s="59" t="s">
        <v>1281</v>
      </c>
      <c r="D260" s="60" t="s">
        <v>21</v>
      </c>
    </row>
    <row r="261" customHeight="1" spans="1:4">
      <c r="A261" s="43">
        <v>258</v>
      </c>
      <c r="B261" s="51" t="s">
        <v>1282</v>
      </c>
      <c r="C261" s="59" t="s">
        <v>1283</v>
      </c>
      <c r="D261" s="60" t="s">
        <v>21</v>
      </c>
    </row>
    <row r="262" customHeight="1" spans="1:4">
      <c r="A262" s="43">
        <v>259</v>
      </c>
      <c r="B262" s="51" t="s">
        <v>1284</v>
      </c>
      <c r="C262" s="59" t="s">
        <v>1285</v>
      </c>
      <c r="D262" s="60" t="s">
        <v>21</v>
      </c>
    </row>
    <row r="263" customHeight="1" spans="1:4">
      <c r="A263" s="43">
        <v>260</v>
      </c>
      <c r="B263" s="48" t="s">
        <v>1286</v>
      </c>
      <c r="C263" s="57" t="s">
        <v>1287</v>
      </c>
      <c r="D263" s="50" t="s">
        <v>21</v>
      </c>
    </row>
    <row r="264" customHeight="1" spans="1:4">
      <c r="A264" s="43">
        <v>261</v>
      </c>
      <c r="B264" s="142" t="s">
        <v>1288</v>
      </c>
      <c r="C264" s="58" t="s">
        <v>1289</v>
      </c>
      <c r="D264" s="50" t="s">
        <v>991</v>
      </c>
    </row>
    <row r="265" customHeight="1" spans="1:4">
      <c r="A265" s="43">
        <v>262</v>
      </c>
      <c r="B265" s="48" t="s">
        <v>1290</v>
      </c>
      <c r="C265" s="58" t="s">
        <v>1291</v>
      </c>
      <c r="D265" s="50" t="s">
        <v>21</v>
      </c>
    </row>
    <row r="266" customHeight="1" spans="1:4">
      <c r="A266" s="43">
        <v>263</v>
      </c>
      <c r="B266" s="48" t="s">
        <v>1292</v>
      </c>
      <c r="C266" s="57" t="s">
        <v>1293</v>
      </c>
      <c r="D266" s="50" t="s">
        <v>21</v>
      </c>
    </row>
    <row r="267" customHeight="1" spans="1:4">
      <c r="A267" s="43">
        <v>264</v>
      </c>
      <c r="B267" s="48" t="s">
        <v>1294</v>
      </c>
      <c r="C267" s="57" t="s">
        <v>1295</v>
      </c>
      <c r="D267" s="50" t="s">
        <v>21</v>
      </c>
    </row>
    <row r="268" customHeight="1" spans="1:4">
      <c r="A268" s="43">
        <v>265</v>
      </c>
      <c r="B268" s="48" t="s">
        <v>1296</v>
      </c>
      <c r="C268" s="57" t="s">
        <v>1297</v>
      </c>
      <c r="D268" s="50" t="s">
        <v>21</v>
      </c>
    </row>
    <row r="269" customHeight="1" spans="1:4">
      <c r="A269" s="43">
        <v>266</v>
      </c>
      <c r="B269" s="142" t="s">
        <v>1298</v>
      </c>
      <c r="C269" s="58" t="s">
        <v>1299</v>
      </c>
      <c r="D269" s="50" t="s">
        <v>21</v>
      </c>
    </row>
    <row r="270" customHeight="1" spans="1:4">
      <c r="A270" s="43">
        <v>267</v>
      </c>
      <c r="B270" s="142" t="s">
        <v>1300</v>
      </c>
      <c r="C270" s="58" t="s">
        <v>1301</v>
      </c>
      <c r="D270" s="50" t="s">
        <v>21</v>
      </c>
    </row>
    <row r="271" customHeight="1" spans="1:4">
      <c r="A271" s="43">
        <v>268</v>
      </c>
      <c r="B271" s="142" t="s">
        <v>1302</v>
      </c>
      <c r="C271" s="58" t="s">
        <v>1303</v>
      </c>
      <c r="D271" s="50" t="s">
        <v>21</v>
      </c>
    </row>
    <row r="272" customHeight="1" spans="1:4">
      <c r="A272" s="43">
        <v>269</v>
      </c>
      <c r="B272" s="48" t="s">
        <v>1304</v>
      </c>
      <c r="C272" s="58" t="s">
        <v>1305</v>
      </c>
      <c r="D272" s="50" t="s">
        <v>21</v>
      </c>
    </row>
    <row r="273" customHeight="1" spans="1:4">
      <c r="A273" s="43">
        <v>270</v>
      </c>
      <c r="B273" s="48" t="s">
        <v>1306</v>
      </c>
      <c r="C273" s="58" t="s">
        <v>1307</v>
      </c>
      <c r="D273" s="50" t="s">
        <v>21</v>
      </c>
    </row>
    <row r="274" customHeight="1" spans="1:4">
      <c r="A274" s="43">
        <v>271</v>
      </c>
      <c r="B274" s="48" t="s">
        <v>1308</v>
      </c>
      <c r="C274" s="57" t="s">
        <v>1309</v>
      </c>
      <c r="D274" s="50" t="s">
        <v>21</v>
      </c>
    </row>
    <row r="275" customHeight="1" spans="1:4">
      <c r="A275" s="43">
        <v>272</v>
      </c>
      <c r="B275" s="48" t="s">
        <v>1310</v>
      </c>
      <c r="C275" s="57" t="s">
        <v>1311</v>
      </c>
      <c r="D275" s="50" t="s">
        <v>21</v>
      </c>
    </row>
    <row r="276" customHeight="1" spans="1:4">
      <c r="A276" s="43">
        <v>273</v>
      </c>
      <c r="B276" s="48" t="s">
        <v>1312</v>
      </c>
      <c r="C276" s="57" t="s">
        <v>1313</v>
      </c>
      <c r="D276" s="50" t="s">
        <v>792</v>
      </c>
    </row>
    <row r="277" customHeight="1" spans="1:4">
      <c r="A277" s="43">
        <v>274</v>
      </c>
      <c r="B277" s="48" t="s">
        <v>1314</v>
      </c>
      <c r="C277" s="57" t="s">
        <v>1315</v>
      </c>
      <c r="D277" s="50" t="s">
        <v>792</v>
      </c>
    </row>
    <row r="278" customHeight="1" spans="1:4">
      <c r="A278" s="43">
        <v>275</v>
      </c>
      <c r="B278" s="48" t="s">
        <v>1316</v>
      </c>
      <c r="C278" s="57" t="s">
        <v>1317</v>
      </c>
      <c r="D278" s="50" t="s">
        <v>792</v>
      </c>
    </row>
    <row r="279" customHeight="1" spans="1:4">
      <c r="A279" s="43">
        <v>276</v>
      </c>
      <c r="B279" s="48" t="s">
        <v>1318</v>
      </c>
      <c r="C279" s="57" t="s">
        <v>1319</v>
      </c>
      <c r="D279" s="50" t="s">
        <v>792</v>
      </c>
    </row>
    <row r="280" customHeight="1" spans="1:4">
      <c r="A280" s="43">
        <v>277</v>
      </c>
      <c r="B280" s="48" t="s">
        <v>1320</v>
      </c>
      <c r="C280" s="58" t="s">
        <v>1321</v>
      </c>
      <c r="D280" s="50" t="s">
        <v>21</v>
      </c>
    </row>
    <row r="281" customHeight="1" spans="1:4">
      <c r="A281" s="43">
        <v>278</v>
      </c>
      <c r="B281" s="48" t="s">
        <v>1322</v>
      </c>
      <c r="C281" s="58" t="s">
        <v>1323</v>
      </c>
      <c r="D281" s="50" t="s">
        <v>991</v>
      </c>
    </row>
    <row r="282" customHeight="1" spans="1:4">
      <c r="A282" s="43">
        <v>279</v>
      </c>
      <c r="B282" s="48" t="s">
        <v>1324</v>
      </c>
      <c r="C282" s="58" t="s">
        <v>1325</v>
      </c>
      <c r="D282" s="50" t="s">
        <v>21</v>
      </c>
    </row>
    <row r="283" customHeight="1" spans="1:4">
      <c r="A283" s="43">
        <v>280</v>
      </c>
      <c r="B283" s="48" t="s">
        <v>1326</v>
      </c>
      <c r="C283" s="58" t="s">
        <v>1327</v>
      </c>
      <c r="D283" s="50" t="s">
        <v>21</v>
      </c>
    </row>
    <row r="284" customHeight="1" spans="1:4">
      <c r="A284" s="43">
        <v>281</v>
      </c>
      <c r="B284" s="48" t="s">
        <v>1328</v>
      </c>
      <c r="C284" s="58" t="s">
        <v>1329</v>
      </c>
      <c r="D284" s="50" t="s">
        <v>21</v>
      </c>
    </row>
    <row r="285" customHeight="1" spans="1:4">
      <c r="A285" s="43">
        <v>282</v>
      </c>
      <c r="B285" s="48" t="s">
        <v>1170</v>
      </c>
      <c r="C285" s="58" t="s">
        <v>1171</v>
      </c>
      <c r="D285" s="50" t="s">
        <v>21</v>
      </c>
    </row>
    <row r="286" customHeight="1" spans="1:4">
      <c r="A286" s="43">
        <v>283</v>
      </c>
      <c r="B286" s="48" t="s">
        <v>1330</v>
      </c>
      <c r="C286" s="58" t="s">
        <v>1331</v>
      </c>
      <c r="D286" s="50" t="s">
        <v>21</v>
      </c>
    </row>
    <row r="287" customHeight="1" spans="1:4">
      <c r="A287" s="43">
        <v>284</v>
      </c>
      <c r="B287" s="48" t="s">
        <v>1332</v>
      </c>
      <c r="C287" s="58" t="s">
        <v>1333</v>
      </c>
      <c r="D287" s="50" t="s">
        <v>21</v>
      </c>
    </row>
    <row r="288" customHeight="1" spans="1:4">
      <c r="A288" s="43">
        <v>285</v>
      </c>
      <c r="B288" s="48" t="s">
        <v>1334</v>
      </c>
      <c r="C288" s="58" t="s">
        <v>1335</v>
      </c>
      <c r="D288" s="50" t="s">
        <v>21</v>
      </c>
    </row>
    <row r="289" customHeight="1" spans="1:4">
      <c r="A289" s="43">
        <v>286</v>
      </c>
      <c r="B289" s="51" t="s">
        <v>1336</v>
      </c>
      <c r="C289" s="59" t="s">
        <v>1337</v>
      </c>
      <c r="D289" s="60" t="s">
        <v>21</v>
      </c>
    </row>
    <row r="290" customHeight="1" spans="1:4">
      <c r="A290" s="43">
        <v>287</v>
      </c>
      <c r="B290" s="48" t="s">
        <v>1338</v>
      </c>
      <c r="C290" s="58" t="s">
        <v>1339</v>
      </c>
      <c r="D290" s="50" t="s">
        <v>21</v>
      </c>
    </row>
    <row r="291" customHeight="1" spans="1:4">
      <c r="A291" s="43">
        <v>288</v>
      </c>
      <c r="B291" s="142" t="s">
        <v>1340</v>
      </c>
      <c r="C291" s="58" t="s">
        <v>1341</v>
      </c>
      <c r="D291" s="50" t="s">
        <v>21</v>
      </c>
    </row>
    <row r="292" customHeight="1" spans="1:4">
      <c r="A292" s="43">
        <v>289</v>
      </c>
      <c r="B292" s="48" t="s">
        <v>1342</v>
      </c>
      <c r="C292" s="58" t="s">
        <v>1343</v>
      </c>
      <c r="D292" s="50" t="s">
        <v>21</v>
      </c>
    </row>
    <row r="293" customHeight="1" spans="1:4">
      <c r="A293" s="43">
        <v>290</v>
      </c>
      <c r="B293" s="48" t="s">
        <v>1344</v>
      </c>
      <c r="C293" s="58" t="s">
        <v>1345</v>
      </c>
      <c r="D293" s="50" t="s">
        <v>21</v>
      </c>
    </row>
    <row r="294" customHeight="1" spans="1:4">
      <c r="A294" s="43">
        <v>291</v>
      </c>
      <c r="B294" s="48" t="s">
        <v>1346</v>
      </c>
      <c r="C294" s="58" t="s">
        <v>1347</v>
      </c>
      <c r="D294" s="50" t="s">
        <v>21</v>
      </c>
    </row>
    <row r="295" customHeight="1" spans="1:4">
      <c r="A295" s="43">
        <v>292</v>
      </c>
      <c r="B295" s="48" t="s">
        <v>1348</v>
      </c>
      <c r="C295" s="58" t="s">
        <v>1349</v>
      </c>
      <c r="D295" s="50" t="s">
        <v>21</v>
      </c>
    </row>
    <row r="296" customHeight="1" spans="1:4">
      <c r="A296" s="43">
        <v>293</v>
      </c>
      <c r="B296" s="51" t="s">
        <v>1350</v>
      </c>
      <c r="C296" s="59" t="s">
        <v>1351</v>
      </c>
      <c r="D296" s="60" t="s">
        <v>792</v>
      </c>
    </row>
    <row r="297" customHeight="1" spans="1:4">
      <c r="A297" s="43">
        <v>294</v>
      </c>
      <c r="B297" s="48" t="s">
        <v>1352</v>
      </c>
      <c r="C297" s="58" t="s">
        <v>1353</v>
      </c>
      <c r="D297" s="50" t="s">
        <v>21</v>
      </c>
    </row>
    <row r="298" customHeight="1" spans="1:4">
      <c r="A298" s="43">
        <v>295</v>
      </c>
      <c r="B298" s="48" t="s">
        <v>1354</v>
      </c>
      <c r="C298" s="58" t="s">
        <v>1355</v>
      </c>
      <c r="D298" s="50" t="s">
        <v>21</v>
      </c>
    </row>
    <row r="299" customHeight="1" spans="1:4">
      <c r="A299" s="43">
        <v>296</v>
      </c>
      <c r="B299" s="48" t="s">
        <v>1356</v>
      </c>
      <c r="C299" s="58" t="s">
        <v>1357</v>
      </c>
      <c r="D299" s="50" t="s">
        <v>21</v>
      </c>
    </row>
    <row r="300" customHeight="1" spans="1:4">
      <c r="A300" s="43">
        <v>297</v>
      </c>
      <c r="B300" s="48" t="s">
        <v>1358</v>
      </c>
      <c r="C300" s="58" t="s">
        <v>1359</v>
      </c>
      <c r="D300" s="50" t="s">
        <v>792</v>
      </c>
    </row>
    <row r="301" customHeight="1" spans="1:4">
      <c r="A301" s="43">
        <v>298</v>
      </c>
      <c r="B301" s="48" t="s">
        <v>1360</v>
      </c>
      <c r="C301" s="58" t="s">
        <v>1361</v>
      </c>
      <c r="D301" s="50" t="s">
        <v>21</v>
      </c>
    </row>
    <row r="302" customHeight="1" spans="1:4">
      <c r="A302" s="43">
        <v>299</v>
      </c>
      <c r="B302" s="54" t="s">
        <v>1362</v>
      </c>
      <c r="C302" s="62" t="s">
        <v>1363</v>
      </c>
      <c r="D302" s="63" t="s">
        <v>21</v>
      </c>
    </row>
    <row r="303" customHeight="1" spans="1:4">
      <c r="A303" s="43">
        <v>300</v>
      </c>
      <c r="B303" s="48" t="s">
        <v>1364</v>
      </c>
      <c r="C303" s="58" t="s">
        <v>1365</v>
      </c>
      <c r="D303" s="50" t="s">
        <v>21</v>
      </c>
    </row>
    <row r="304" customHeight="1" spans="1:4">
      <c r="A304" s="43">
        <v>301</v>
      </c>
      <c r="B304" s="142" t="s">
        <v>1366</v>
      </c>
      <c r="C304" s="57" t="s">
        <v>1367</v>
      </c>
      <c r="D304" s="50" t="s">
        <v>21</v>
      </c>
    </row>
    <row r="305" customHeight="1" spans="1:4">
      <c r="A305" s="43">
        <v>302</v>
      </c>
      <c r="B305" s="48" t="s">
        <v>1368</v>
      </c>
      <c r="C305" s="58" t="s">
        <v>1369</v>
      </c>
      <c r="D305" s="50" t="s">
        <v>21</v>
      </c>
    </row>
    <row r="306" customHeight="1" spans="1:4">
      <c r="A306" s="43">
        <v>303</v>
      </c>
      <c r="B306" s="48" t="s">
        <v>1370</v>
      </c>
      <c r="C306" s="58" t="s">
        <v>1371</v>
      </c>
      <c r="D306" s="50" t="s">
        <v>21</v>
      </c>
    </row>
    <row r="307" customHeight="1" spans="1:4">
      <c r="A307" s="43">
        <v>304</v>
      </c>
      <c r="B307" s="48" t="s">
        <v>1372</v>
      </c>
      <c r="C307" s="58" t="s">
        <v>1373</v>
      </c>
      <c r="D307" s="50" t="s">
        <v>21</v>
      </c>
    </row>
    <row r="308" customHeight="1" spans="1:4">
      <c r="A308" s="43">
        <v>305</v>
      </c>
      <c r="B308" s="48" t="s">
        <v>1374</v>
      </c>
      <c r="C308" s="58" t="s">
        <v>1375</v>
      </c>
      <c r="D308" s="50" t="s">
        <v>21</v>
      </c>
    </row>
    <row r="309" customHeight="1" spans="1:4">
      <c r="A309" s="43">
        <v>306</v>
      </c>
      <c r="B309" s="48" t="s">
        <v>1376</v>
      </c>
      <c r="C309" s="58" t="s">
        <v>1377</v>
      </c>
      <c r="D309" s="50" t="s">
        <v>21</v>
      </c>
    </row>
    <row r="310" customHeight="1" spans="1:4">
      <c r="A310" s="43">
        <v>307</v>
      </c>
      <c r="B310" s="48" t="s">
        <v>1378</v>
      </c>
      <c r="C310" s="58" t="s">
        <v>1379</v>
      </c>
      <c r="D310" s="50" t="s">
        <v>21</v>
      </c>
    </row>
    <row r="311" customHeight="1" spans="1:4">
      <c r="A311" s="43">
        <v>308</v>
      </c>
      <c r="B311" s="48" t="s">
        <v>1380</v>
      </c>
      <c r="C311" s="58" t="s">
        <v>1381</v>
      </c>
      <c r="D311" s="50" t="s">
        <v>21</v>
      </c>
    </row>
    <row r="312" customHeight="1" spans="1:4">
      <c r="A312" s="43">
        <v>309</v>
      </c>
      <c r="B312" s="48" t="s">
        <v>1382</v>
      </c>
      <c r="C312" s="58" t="s">
        <v>1383</v>
      </c>
      <c r="D312" s="50" t="s">
        <v>21</v>
      </c>
    </row>
    <row r="313" customHeight="1" spans="1:4">
      <c r="A313" s="43">
        <v>310</v>
      </c>
      <c r="B313" s="48" t="s">
        <v>1384</v>
      </c>
      <c r="C313" s="58" t="s">
        <v>1385</v>
      </c>
      <c r="D313" s="50" t="s">
        <v>21</v>
      </c>
    </row>
    <row r="314" customHeight="1" spans="1:4">
      <c r="A314" s="43">
        <v>311</v>
      </c>
      <c r="B314" s="48" t="s">
        <v>1386</v>
      </c>
      <c r="C314" s="58" t="s">
        <v>1387</v>
      </c>
      <c r="D314" s="50" t="s">
        <v>21</v>
      </c>
    </row>
    <row r="315" customHeight="1" spans="1:4">
      <c r="A315" s="43">
        <v>312</v>
      </c>
      <c r="B315" s="48" t="s">
        <v>1388</v>
      </c>
      <c r="C315" s="58" t="s">
        <v>1389</v>
      </c>
      <c r="D315" s="50" t="s">
        <v>21</v>
      </c>
    </row>
    <row r="316" customHeight="1" spans="1:4">
      <c r="A316" s="43">
        <v>313</v>
      </c>
      <c r="B316" s="48" t="s">
        <v>1390</v>
      </c>
      <c r="C316" s="58" t="s">
        <v>1391</v>
      </c>
      <c r="D316" s="50" t="s">
        <v>21</v>
      </c>
    </row>
    <row r="317" customHeight="1" spans="1:4">
      <c r="A317" s="43">
        <v>314</v>
      </c>
      <c r="B317" s="48" t="s">
        <v>1392</v>
      </c>
      <c r="C317" s="58" t="s">
        <v>1393</v>
      </c>
      <c r="D317" s="50" t="s">
        <v>21</v>
      </c>
    </row>
    <row r="318" customHeight="1" spans="1:4">
      <c r="A318" s="43">
        <v>315</v>
      </c>
      <c r="B318" s="48" t="s">
        <v>1394</v>
      </c>
      <c r="C318" s="58" t="s">
        <v>1395</v>
      </c>
      <c r="D318" s="50" t="s">
        <v>21</v>
      </c>
    </row>
    <row r="319" customHeight="1" spans="1:4">
      <c r="A319" s="43">
        <v>316</v>
      </c>
      <c r="B319" s="48" t="s">
        <v>1396</v>
      </c>
      <c r="C319" s="58" t="s">
        <v>1397</v>
      </c>
      <c r="D319" s="50" t="s">
        <v>21</v>
      </c>
    </row>
    <row r="320" customHeight="1" spans="1:4">
      <c r="A320" s="43">
        <v>317</v>
      </c>
      <c r="B320" s="142" t="s">
        <v>1398</v>
      </c>
      <c r="C320" s="58" t="s">
        <v>1399</v>
      </c>
      <c r="D320" s="50" t="s">
        <v>21</v>
      </c>
    </row>
    <row r="321" customHeight="1" spans="1:4">
      <c r="A321" s="43">
        <v>318</v>
      </c>
      <c r="B321" s="48" t="s">
        <v>1400</v>
      </c>
      <c r="C321" s="58" t="s">
        <v>1401</v>
      </c>
      <c r="D321" s="50" t="s">
        <v>21</v>
      </c>
    </row>
    <row r="322" customHeight="1" spans="1:4">
      <c r="A322" s="43">
        <v>319</v>
      </c>
      <c r="B322" s="48" t="s">
        <v>1402</v>
      </c>
      <c r="C322" s="58" t="s">
        <v>1403</v>
      </c>
      <c r="D322" s="50" t="s">
        <v>21</v>
      </c>
    </row>
    <row r="323" customHeight="1" spans="1:4">
      <c r="A323" s="43">
        <v>320</v>
      </c>
      <c r="B323" s="51" t="s">
        <v>1404</v>
      </c>
      <c r="C323" s="59" t="s">
        <v>1405</v>
      </c>
      <c r="D323" s="60" t="s">
        <v>21</v>
      </c>
    </row>
    <row r="324" customHeight="1" spans="1:4">
      <c r="A324" s="43">
        <v>321</v>
      </c>
      <c r="B324" s="48" t="s">
        <v>1406</v>
      </c>
      <c r="C324" s="58" t="s">
        <v>1407</v>
      </c>
      <c r="D324" s="50" t="s">
        <v>21</v>
      </c>
    </row>
    <row r="325" customHeight="1" spans="1:4">
      <c r="A325" s="43">
        <v>322</v>
      </c>
      <c r="B325" s="48" t="s">
        <v>1408</v>
      </c>
      <c r="C325" s="58" t="s">
        <v>1409</v>
      </c>
      <c r="D325" s="50" t="s">
        <v>21</v>
      </c>
    </row>
    <row r="326" customHeight="1" spans="1:4">
      <c r="A326" s="43">
        <v>323</v>
      </c>
      <c r="B326" s="48" t="s">
        <v>1410</v>
      </c>
      <c r="C326" s="58" t="s">
        <v>1411</v>
      </c>
      <c r="D326" s="50" t="s">
        <v>21</v>
      </c>
    </row>
    <row r="327" customHeight="1" spans="1:4">
      <c r="A327" s="43">
        <v>324</v>
      </c>
      <c r="B327" s="48" t="s">
        <v>1412</v>
      </c>
      <c r="C327" s="58" t="s">
        <v>1413</v>
      </c>
      <c r="D327" s="50" t="s">
        <v>21</v>
      </c>
    </row>
    <row r="328" customHeight="1" spans="1:4">
      <c r="A328" s="43">
        <v>325</v>
      </c>
      <c r="B328" s="48" t="s">
        <v>1414</v>
      </c>
      <c r="C328" s="58" t="s">
        <v>1415</v>
      </c>
      <c r="D328" s="50" t="s">
        <v>1416</v>
      </c>
    </row>
    <row r="329" customHeight="1" spans="1:4">
      <c r="A329" s="43">
        <v>326</v>
      </c>
      <c r="B329" s="48" t="s">
        <v>1417</v>
      </c>
      <c r="C329" s="58" t="s">
        <v>1418</v>
      </c>
      <c r="D329" s="50" t="s">
        <v>1416</v>
      </c>
    </row>
    <row r="330" customHeight="1" spans="1:4">
      <c r="A330" s="43">
        <v>327</v>
      </c>
      <c r="B330" s="48" t="s">
        <v>1419</v>
      </c>
      <c r="C330" s="58" t="s">
        <v>1420</v>
      </c>
      <c r="D330" s="50" t="s">
        <v>1416</v>
      </c>
    </row>
    <row r="331" customHeight="1" spans="1:4">
      <c r="A331" s="43">
        <v>328</v>
      </c>
      <c r="B331" s="48" t="s">
        <v>1421</v>
      </c>
      <c r="C331" s="58" t="s">
        <v>1422</v>
      </c>
      <c r="D331" s="50" t="s">
        <v>1416</v>
      </c>
    </row>
    <row r="332" customHeight="1" spans="1:4">
      <c r="A332" s="43">
        <v>329</v>
      </c>
      <c r="B332" s="48" t="s">
        <v>1423</v>
      </c>
      <c r="C332" s="58" t="s">
        <v>1424</v>
      </c>
      <c r="D332" s="50" t="s">
        <v>1416</v>
      </c>
    </row>
    <row r="333" customHeight="1" spans="1:4">
      <c r="A333" s="43">
        <v>330</v>
      </c>
      <c r="B333" s="48" t="s">
        <v>1425</v>
      </c>
      <c r="C333" s="58" t="s">
        <v>1426</v>
      </c>
      <c r="D333" s="50" t="s">
        <v>1416</v>
      </c>
    </row>
    <row r="334" customHeight="1" spans="1:4">
      <c r="A334" s="43">
        <v>331</v>
      </c>
      <c r="B334" s="48" t="s">
        <v>1427</v>
      </c>
      <c r="C334" s="58" t="s">
        <v>1428</v>
      </c>
      <c r="D334" s="50" t="s">
        <v>21</v>
      </c>
    </row>
    <row r="335" customHeight="1" spans="1:4">
      <c r="A335" s="43">
        <v>332</v>
      </c>
      <c r="B335" s="48" t="s">
        <v>1429</v>
      </c>
      <c r="C335" s="58" t="s">
        <v>1430</v>
      </c>
      <c r="D335" s="50" t="s">
        <v>21</v>
      </c>
    </row>
    <row r="336" customHeight="1" spans="1:4">
      <c r="A336" s="43">
        <v>333</v>
      </c>
      <c r="B336" s="48" t="s">
        <v>1431</v>
      </c>
      <c r="C336" s="58" t="s">
        <v>1432</v>
      </c>
      <c r="D336" s="50" t="s">
        <v>21</v>
      </c>
    </row>
    <row r="337" customHeight="1" spans="1:4">
      <c r="A337" s="43">
        <v>334</v>
      </c>
      <c r="B337" s="48" t="s">
        <v>1433</v>
      </c>
      <c r="C337" s="58" t="s">
        <v>1434</v>
      </c>
      <c r="D337" s="50" t="s">
        <v>21</v>
      </c>
    </row>
    <row r="338" customHeight="1" spans="1:4">
      <c r="A338" s="43">
        <v>335</v>
      </c>
      <c r="B338" s="48" t="s">
        <v>1435</v>
      </c>
      <c r="C338" s="58" t="s">
        <v>1436</v>
      </c>
      <c r="D338" s="50" t="s">
        <v>21</v>
      </c>
    </row>
    <row r="339" customHeight="1" spans="1:4">
      <c r="A339" s="43">
        <v>336</v>
      </c>
      <c r="B339" s="48" t="s">
        <v>1437</v>
      </c>
      <c r="C339" s="58" t="s">
        <v>1438</v>
      </c>
      <c r="D339" s="50" t="s">
        <v>1439</v>
      </c>
    </row>
    <row r="340" customHeight="1" spans="1:4">
      <c r="A340" s="43">
        <v>337</v>
      </c>
      <c r="B340" s="48" t="s">
        <v>1440</v>
      </c>
      <c r="C340" s="58" t="s">
        <v>1441</v>
      </c>
      <c r="D340" s="50" t="s">
        <v>1439</v>
      </c>
    </row>
    <row r="341" customHeight="1" spans="1:4">
      <c r="A341" s="43">
        <v>338</v>
      </c>
      <c r="B341" s="50" t="s">
        <v>1442</v>
      </c>
      <c r="C341" s="49" t="s">
        <v>1443</v>
      </c>
      <c r="D341" s="50" t="s">
        <v>1439</v>
      </c>
    </row>
    <row r="342" customHeight="1" spans="1:4">
      <c r="A342" s="43">
        <v>339</v>
      </c>
      <c r="B342" s="50" t="s">
        <v>1444</v>
      </c>
      <c r="C342" s="49" t="s">
        <v>1445</v>
      </c>
      <c r="D342" s="50" t="s">
        <v>21</v>
      </c>
    </row>
    <row r="343" customHeight="1" spans="1:4">
      <c r="A343" s="43">
        <v>340</v>
      </c>
      <c r="B343" s="48" t="s">
        <v>1446</v>
      </c>
      <c r="C343" s="58" t="s">
        <v>1447</v>
      </c>
      <c r="D343" s="50" t="s">
        <v>1439</v>
      </c>
    </row>
    <row r="344" customHeight="1" spans="1:4">
      <c r="A344" s="43">
        <v>341</v>
      </c>
      <c r="B344" s="48" t="s">
        <v>1448</v>
      </c>
      <c r="C344" s="58" t="s">
        <v>1449</v>
      </c>
      <c r="D344" s="50" t="s">
        <v>21</v>
      </c>
    </row>
    <row r="345" customHeight="1" spans="1:4">
      <c r="A345" s="43">
        <v>342</v>
      </c>
      <c r="B345" s="48" t="s">
        <v>1450</v>
      </c>
      <c r="C345" s="58" t="s">
        <v>1451</v>
      </c>
      <c r="D345" s="50" t="s">
        <v>1439</v>
      </c>
    </row>
    <row r="346" customHeight="1" spans="1:4">
      <c r="A346" s="43">
        <v>343</v>
      </c>
      <c r="B346" s="48" t="s">
        <v>1452</v>
      </c>
      <c r="C346" s="58" t="s">
        <v>1453</v>
      </c>
      <c r="D346" s="50" t="s">
        <v>21</v>
      </c>
    </row>
    <row r="347" customHeight="1" spans="1:4">
      <c r="A347" s="43">
        <v>344</v>
      </c>
      <c r="B347" s="48" t="s">
        <v>1454</v>
      </c>
      <c r="C347" s="58" t="s">
        <v>1455</v>
      </c>
      <c r="D347" s="50" t="s">
        <v>21</v>
      </c>
    </row>
    <row r="348" customHeight="1" spans="1:4">
      <c r="A348" s="43">
        <v>345</v>
      </c>
      <c r="B348" s="48" t="s">
        <v>1456</v>
      </c>
      <c r="C348" s="58" t="s">
        <v>1457</v>
      </c>
      <c r="D348" s="50" t="s">
        <v>21</v>
      </c>
    </row>
    <row r="349" customHeight="1" spans="1:4">
      <c r="A349" s="43">
        <v>346</v>
      </c>
      <c r="B349" s="48" t="s">
        <v>1458</v>
      </c>
      <c r="C349" s="58" t="s">
        <v>1459</v>
      </c>
      <c r="D349" s="50" t="s">
        <v>991</v>
      </c>
    </row>
    <row r="350" customHeight="1" spans="1:4">
      <c r="A350" s="43">
        <v>347</v>
      </c>
      <c r="B350" s="48" t="s">
        <v>1460</v>
      </c>
      <c r="C350" s="58" t="s">
        <v>1461</v>
      </c>
      <c r="D350" s="50" t="s">
        <v>991</v>
      </c>
    </row>
    <row r="351" customHeight="1" spans="1:4">
      <c r="A351" s="43">
        <v>348</v>
      </c>
      <c r="B351" s="48" t="s">
        <v>1462</v>
      </c>
      <c r="C351" s="58" t="s">
        <v>1463</v>
      </c>
      <c r="D351" s="50" t="s">
        <v>21</v>
      </c>
    </row>
    <row r="352" customHeight="1" spans="1:4">
      <c r="A352" s="43">
        <v>349</v>
      </c>
      <c r="B352" s="48" t="s">
        <v>1464</v>
      </c>
      <c r="C352" s="58" t="s">
        <v>1465</v>
      </c>
      <c r="D352" s="50" t="s">
        <v>21</v>
      </c>
    </row>
    <row r="353" customHeight="1" spans="1:4">
      <c r="A353" s="43">
        <v>350</v>
      </c>
      <c r="B353" s="48" t="s">
        <v>1466</v>
      </c>
      <c r="C353" s="58" t="s">
        <v>1467</v>
      </c>
      <c r="D353" s="50" t="s">
        <v>21</v>
      </c>
    </row>
    <row r="354" customHeight="1" spans="1:4">
      <c r="A354" s="43">
        <v>351</v>
      </c>
      <c r="B354" s="54" t="s">
        <v>1468</v>
      </c>
      <c r="C354" s="55" t="s">
        <v>1469</v>
      </c>
      <c r="D354" s="56" t="s">
        <v>15</v>
      </c>
    </row>
    <row r="355" customHeight="1" spans="1:4">
      <c r="A355" s="43">
        <v>352</v>
      </c>
      <c r="B355" s="54" t="s">
        <v>1470</v>
      </c>
      <c r="C355" s="55" t="s">
        <v>1471</v>
      </c>
      <c r="D355" s="56" t="s">
        <v>40</v>
      </c>
    </row>
    <row r="356" customHeight="1" spans="1:4">
      <c r="A356" s="43">
        <v>353</v>
      </c>
      <c r="B356" s="54" t="s">
        <v>1472</v>
      </c>
      <c r="C356" s="55" t="s">
        <v>1473</v>
      </c>
      <c r="D356" s="56" t="s">
        <v>15</v>
      </c>
    </row>
    <row r="357" customHeight="1" spans="1:4">
      <c r="A357" s="43">
        <v>354</v>
      </c>
      <c r="B357" s="54" t="s">
        <v>1474</v>
      </c>
      <c r="C357" s="55" t="s">
        <v>1475</v>
      </c>
      <c r="D357" s="56" t="s">
        <v>15</v>
      </c>
    </row>
    <row r="358" customHeight="1" spans="1:4">
      <c r="A358" s="43">
        <v>355</v>
      </c>
      <c r="B358" s="54" t="s">
        <v>1476</v>
      </c>
      <c r="C358" s="55" t="s">
        <v>1477</v>
      </c>
      <c r="D358" s="56" t="s">
        <v>15</v>
      </c>
    </row>
    <row r="359" customHeight="1" spans="1:4">
      <c r="A359" s="43">
        <v>356</v>
      </c>
      <c r="B359" s="54" t="s">
        <v>1478</v>
      </c>
      <c r="C359" s="55" t="s">
        <v>1479</v>
      </c>
      <c r="D359" s="56" t="s">
        <v>21</v>
      </c>
    </row>
    <row r="360" customHeight="1" spans="1:4">
      <c r="A360" s="43">
        <v>357</v>
      </c>
      <c r="B360" s="54" t="s">
        <v>1480</v>
      </c>
      <c r="C360" s="55" t="s">
        <v>1481</v>
      </c>
      <c r="D360" s="56" t="s">
        <v>21</v>
      </c>
    </row>
    <row r="361" customHeight="1" spans="1:4">
      <c r="A361" s="43">
        <v>358</v>
      </c>
      <c r="B361" s="54" t="s">
        <v>1482</v>
      </c>
      <c r="C361" s="55" t="s">
        <v>1483</v>
      </c>
      <c r="D361" s="56" t="s">
        <v>21</v>
      </c>
    </row>
    <row r="362" customHeight="1" spans="1:4">
      <c r="A362" s="43">
        <v>359</v>
      </c>
      <c r="B362" s="54" t="s">
        <v>1484</v>
      </c>
      <c r="C362" s="55" t="s">
        <v>1485</v>
      </c>
      <c r="D362" s="56" t="s">
        <v>21</v>
      </c>
    </row>
    <row r="363" customHeight="1" spans="1:4">
      <c r="A363" s="43">
        <v>360</v>
      </c>
      <c r="B363" s="54" t="s">
        <v>1486</v>
      </c>
      <c r="C363" s="55" t="s">
        <v>1487</v>
      </c>
      <c r="D363" s="56" t="s">
        <v>21</v>
      </c>
    </row>
    <row r="364" customHeight="1" spans="1:4">
      <c r="A364" s="43">
        <v>361</v>
      </c>
      <c r="B364" s="54" t="s">
        <v>1488</v>
      </c>
      <c r="C364" s="55" t="s">
        <v>1489</v>
      </c>
      <c r="D364" s="56" t="s">
        <v>21</v>
      </c>
    </row>
    <row r="365" customHeight="1" spans="1:4">
      <c r="A365" s="43">
        <v>362</v>
      </c>
      <c r="B365" s="54" t="s">
        <v>1490</v>
      </c>
      <c r="C365" s="55" t="s">
        <v>1491</v>
      </c>
      <c r="D365" s="56" t="s">
        <v>21</v>
      </c>
    </row>
    <row r="366" customHeight="1" spans="1:4">
      <c r="A366" s="43">
        <v>363</v>
      </c>
      <c r="B366" s="54" t="s">
        <v>1492</v>
      </c>
      <c r="C366" s="55" t="s">
        <v>1493</v>
      </c>
      <c r="D366" s="56" t="s">
        <v>21</v>
      </c>
    </row>
    <row r="367" customHeight="1" spans="1:4">
      <c r="A367" s="43">
        <v>364</v>
      </c>
      <c r="B367" s="143" t="s">
        <v>1494</v>
      </c>
      <c r="C367" s="52" t="s">
        <v>1495</v>
      </c>
      <c r="D367" s="64" t="s">
        <v>21</v>
      </c>
    </row>
    <row r="368" customHeight="1" spans="1:4">
      <c r="A368" s="43">
        <v>365</v>
      </c>
      <c r="B368" s="54" t="s">
        <v>1496</v>
      </c>
      <c r="C368" s="55" t="s">
        <v>1497</v>
      </c>
      <c r="D368" s="56" t="s">
        <v>21</v>
      </c>
    </row>
    <row r="369" customHeight="1" spans="1:4">
      <c r="A369" s="43">
        <v>366</v>
      </c>
      <c r="B369" s="144" t="s">
        <v>1498</v>
      </c>
      <c r="C369" s="55" t="s">
        <v>1499</v>
      </c>
      <c r="D369" s="56" t="s">
        <v>21</v>
      </c>
    </row>
    <row r="370" customHeight="1" spans="1:4">
      <c r="A370" s="43">
        <v>367</v>
      </c>
      <c r="B370" s="54" t="s">
        <v>1500</v>
      </c>
      <c r="C370" s="55" t="s">
        <v>1501</v>
      </c>
      <c r="D370" s="56" t="s">
        <v>21</v>
      </c>
    </row>
    <row r="371" customHeight="1" spans="1:4">
      <c r="A371" s="43">
        <v>368</v>
      </c>
      <c r="B371" s="54" t="s">
        <v>1502</v>
      </c>
      <c r="C371" s="55" t="s">
        <v>1503</v>
      </c>
      <c r="D371" s="56" t="s">
        <v>21</v>
      </c>
    </row>
    <row r="372" customHeight="1" spans="1:4">
      <c r="A372" s="43">
        <v>369</v>
      </c>
      <c r="B372" s="54" t="s">
        <v>1504</v>
      </c>
      <c r="C372" s="55" t="s">
        <v>1505</v>
      </c>
      <c r="D372" s="56" t="s">
        <v>21</v>
      </c>
    </row>
    <row r="373" customHeight="1" spans="1:4">
      <c r="A373" s="43">
        <v>370</v>
      </c>
      <c r="B373" s="54" t="s">
        <v>1506</v>
      </c>
      <c r="C373" s="55" t="s">
        <v>1507</v>
      </c>
      <c r="D373" s="56" t="s">
        <v>21</v>
      </c>
    </row>
    <row r="374" customHeight="1" spans="1:4">
      <c r="A374" s="43">
        <v>371</v>
      </c>
      <c r="B374" s="54" t="s">
        <v>1508</v>
      </c>
      <c r="C374" s="55" t="s">
        <v>1509</v>
      </c>
      <c r="D374" s="56" t="s">
        <v>21</v>
      </c>
    </row>
    <row r="375" customHeight="1" spans="1:4">
      <c r="A375" s="43">
        <v>372</v>
      </c>
      <c r="B375" s="54" t="s">
        <v>1510</v>
      </c>
      <c r="C375" s="55" t="s">
        <v>1511</v>
      </c>
      <c r="D375" s="56" t="s">
        <v>21</v>
      </c>
    </row>
    <row r="376" customHeight="1" spans="1:4">
      <c r="A376" s="43">
        <v>373</v>
      </c>
      <c r="B376" s="54" t="s">
        <v>1512</v>
      </c>
      <c r="C376" s="55" t="s">
        <v>1513</v>
      </c>
      <c r="D376" s="56" t="s">
        <v>21</v>
      </c>
    </row>
    <row r="377" customHeight="1" spans="1:4">
      <c r="A377" s="43">
        <v>374</v>
      </c>
      <c r="B377" s="54" t="s">
        <v>1514</v>
      </c>
      <c r="C377" s="55" t="s">
        <v>1515</v>
      </c>
      <c r="D377" s="56" t="s">
        <v>21</v>
      </c>
    </row>
    <row r="378" customHeight="1" spans="1:4">
      <c r="A378" s="43">
        <v>375</v>
      </c>
      <c r="B378" s="54" t="s">
        <v>1516</v>
      </c>
      <c r="C378" s="55" t="s">
        <v>1517</v>
      </c>
      <c r="D378" s="56" t="s">
        <v>21</v>
      </c>
    </row>
    <row r="379" customHeight="1" spans="1:4">
      <c r="A379" s="43">
        <v>376</v>
      </c>
      <c r="B379" s="144" t="s">
        <v>1518</v>
      </c>
      <c r="C379" s="55" t="s">
        <v>1519</v>
      </c>
      <c r="D379" s="56" t="s">
        <v>21</v>
      </c>
    </row>
    <row r="380" customHeight="1" spans="1:4">
      <c r="A380" s="43">
        <v>377</v>
      </c>
      <c r="B380" s="54" t="s">
        <v>1520</v>
      </c>
      <c r="C380" s="55" t="s">
        <v>1521</v>
      </c>
      <c r="D380" s="56" t="s">
        <v>21</v>
      </c>
    </row>
    <row r="381" customHeight="1" spans="1:4">
      <c r="A381" s="43">
        <v>378</v>
      </c>
      <c r="B381" s="54" t="s">
        <v>1522</v>
      </c>
      <c r="C381" s="55" t="s">
        <v>1523</v>
      </c>
      <c r="D381" s="56" t="s">
        <v>21</v>
      </c>
    </row>
    <row r="382" customHeight="1" spans="1:4">
      <c r="A382" s="43">
        <v>379</v>
      </c>
      <c r="B382" s="54" t="s">
        <v>1524</v>
      </c>
      <c r="C382" s="55" t="s">
        <v>1525</v>
      </c>
      <c r="D382" s="56" t="s">
        <v>21</v>
      </c>
    </row>
    <row r="383" customHeight="1" spans="1:4">
      <c r="A383" s="43">
        <v>380</v>
      </c>
      <c r="B383" s="54" t="s">
        <v>1526</v>
      </c>
      <c r="C383" s="55" t="s">
        <v>1527</v>
      </c>
      <c r="D383" s="56" t="s">
        <v>21</v>
      </c>
    </row>
    <row r="384" customHeight="1" spans="1:4">
      <c r="A384" s="43">
        <v>381</v>
      </c>
      <c r="B384" s="54" t="s">
        <v>1528</v>
      </c>
      <c r="C384" s="55" t="s">
        <v>1529</v>
      </c>
      <c r="D384" s="56" t="s">
        <v>21</v>
      </c>
    </row>
    <row r="385" customHeight="1" spans="1:4">
      <c r="A385" s="43">
        <v>382</v>
      </c>
      <c r="B385" s="54" t="s">
        <v>1530</v>
      </c>
      <c r="C385" s="55" t="s">
        <v>1531</v>
      </c>
      <c r="D385" s="56" t="s">
        <v>15</v>
      </c>
    </row>
    <row r="386" customHeight="1" spans="1:4">
      <c r="A386" s="43">
        <v>383</v>
      </c>
      <c r="B386" s="54" t="s">
        <v>1532</v>
      </c>
      <c r="C386" s="55" t="s">
        <v>1533</v>
      </c>
      <c r="D386" s="56" t="s">
        <v>15</v>
      </c>
    </row>
    <row r="387" customHeight="1" spans="1:4">
      <c r="A387" s="43">
        <v>384</v>
      </c>
      <c r="B387" s="54" t="s">
        <v>1534</v>
      </c>
      <c r="C387" s="55" t="s">
        <v>1535</v>
      </c>
      <c r="D387" s="56" t="s">
        <v>21</v>
      </c>
    </row>
    <row r="388" customHeight="1" spans="1:4">
      <c r="A388" s="43">
        <v>385</v>
      </c>
      <c r="B388" s="54" t="s">
        <v>1536</v>
      </c>
      <c r="C388" s="55" t="s">
        <v>1537</v>
      </c>
      <c r="D388" s="56" t="s">
        <v>21</v>
      </c>
    </row>
    <row r="389" customHeight="1" spans="1:4">
      <c r="A389" s="43">
        <v>386</v>
      </c>
      <c r="B389" s="54" t="s">
        <v>1538</v>
      </c>
      <c r="C389" s="55" t="s">
        <v>1539</v>
      </c>
      <c r="D389" s="56" t="s">
        <v>21</v>
      </c>
    </row>
    <row r="390" customHeight="1" spans="1:4">
      <c r="A390" s="43">
        <v>387</v>
      </c>
      <c r="B390" s="54" t="s">
        <v>1540</v>
      </c>
      <c r="C390" s="55" t="s">
        <v>1541</v>
      </c>
      <c r="D390" s="56" t="s">
        <v>21</v>
      </c>
    </row>
    <row r="391" customHeight="1" spans="1:4">
      <c r="A391" s="43">
        <v>388</v>
      </c>
      <c r="B391" s="54" t="s">
        <v>1542</v>
      </c>
      <c r="C391" s="55" t="s">
        <v>1543</v>
      </c>
      <c r="D391" s="56" t="s">
        <v>21</v>
      </c>
    </row>
    <row r="392" customHeight="1" spans="1:4">
      <c r="A392" s="43">
        <v>389</v>
      </c>
      <c r="B392" s="54" t="s">
        <v>1544</v>
      </c>
      <c r="C392" s="55" t="s">
        <v>1545</v>
      </c>
      <c r="D392" s="56" t="s">
        <v>21</v>
      </c>
    </row>
    <row r="393" customHeight="1" spans="1:4">
      <c r="A393" s="43">
        <v>390</v>
      </c>
      <c r="B393" s="54" t="s">
        <v>1546</v>
      </c>
      <c r="C393" s="55" t="s">
        <v>1547</v>
      </c>
      <c r="D393" s="56" t="s">
        <v>21</v>
      </c>
    </row>
    <row r="394" customHeight="1" spans="1:4">
      <c r="A394" s="43">
        <v>391</v>
      </c>
      <c r="B394" s="54" t="s">
        <v>1548</v>
      </c>
      <c r="C394" s="55" t="s">
        <v>1549</v>
      </c>
      <c r="D394" s="56" t="s">
        <v>21</v>
      </c>
    </row>
    <row r="395" customHeight="1" spans="1:4">
      <c r="A395" s="43">
        <v>392</v>
      </c>
      <c r="B395" s="54" t="s">
        <v>1550</v>
      </c>
      <c r="C395" s="55" t="s">
        <v>1551</v>
      </c>
      <c r="D395" s="56" t="s">
        <v>15</v>
      </c>
    </row>
    <row r="396" customHeight="1" spans="1:4">
      <c r="A396" s="43">
        <v>393</v>
      </c>
      <c r="B396" s="54" t="s">
        <v>1552</v>
      </c>
      <c r="C396" s="55" t="s">
        <v>1553</v>
      </c>
      <c r="D396" s="56" t="s">
        <v>15</v>
      </c>
    </row>
    <row r="397" customHeight="1" spans="1:4">
      <c r="A397" s="43">
        <v>394</v>
      </c>
      <c r="B397" s="54" t="s">
        <v>1554</v>
      </c>
      <c r="C397" s="55" t="s">
        <v>1555</v>
      </c>
      <c r="D397" s="56" t="s">
        <v>15</v>
      </c>
    </row>
    <row r="398" customHeight="1" spans="1:4">
      <c r="A398" s="43">
        <v>395</v>
      </c>
      <c r="B398" s="54" t="s">
        <v>1556</v>
      </c>
      <c r="C398" s="55" t="s">
        <v>1557</v>
      </c>
      <c r="D398" s="56" t="s">
        <v>15</v>
      </c>
    </row>
    <row r="399" customHeight="1" spans="1:4">
      <c r="A399" s="43">
        <v>396</v>
      </c>
      <c r="B399" s="54" t="s">
        <v>1558</v>
      </c>
      <c r="C399" s="55" t="s">
        <v>1559</v>
      </c>
      <c r="D399" s="56" t="s">
        <v>21</v>
      </c>
    </row>
    <row r="400" customHeight="1" spans="1:4">
      <c r="A400" s="43">
        <v>397</v>
      </c>
      <c r="B400" s="54" t="s">
        <v>1560</v>
      </c>
      <c r="C400" s="55" t="s">
        <v>1561</v>
      </c>
      <c r="D400" s="56" t="s">
        <v>21</v>
      </c>
    </row>
    <row r="401" customHeight="1" spans="1:4">
      <c r="A401" s="43">
        <v>398</v>
      </c>
      <c r="B401" s="54" t="s">
        <v>1562</v>
      </c>
      <c r="C401" s="55" t="s">
        <v>1563</v>
      </c>
      <c r="D401" s="56" t="s">
        <v>21</v>
      </c>
    </row>
    <row r="402" customHeight="1" spans="1:4">
      <c r="A402" s="43">
        <v>399</v>
      </c>
      <c r="B402" s="54" t="s">
        <v>1564</v>
      </c>
      <c r="C402" s="55" t="s">
        <v>1565</v>
      </c>
      <c r="D402" s="56" t="s">
        <v>21</v>
      </c>
    </row>
    <row r="403" customHeight="1" spans="1:4">
      <c r="A403" s="43">
        <v>400</v>
      </c>
      <c r="B403" s="54" t="s">
        <v>1566</v>
      </c>
      <c r="C403" s="55" t="s">
        <v>1567</v>
      </c>
      <c r="D403" s="56" t="s">
        <v>1568</v>
      </c>
    </row>
    <row r="404" customHeight="1" spans="1:4">
      <c r="A404" s="43">
        <v>401</v>
      </c>
      <c r="B404" s="54" t="s">
        <v>1569</v>
      </c>
      <c r="C404" s="55" t="s">
        <v>1570</v>
      </c>
      <c r="D404" s="56" t="s">
        <v>1568</v>
      </c>
    </row>
    <row r="405" customHeight="1" spans="1:4">
      <c r="A405" s="43">
        <v>402</v>
      </c>
      <c r="B405" s="54" t="s">
        <v>1571</v>
      </c>
      <c r="C405" s="55" t="s">
        <v>1572</v>
      </c>
      <c r="D405" s="56" t="s">
        <v>1568</v>
      </c>
    </row>
    <row r="406" customHeight="1" spans="1:4">
      <c r="A406" s="43">
        <v>403</v>
      </c>
      <c r="B406" s="54" t="s">
        <v>1573</v>
      </c>
      <c r="C406" s="62" t="s">
        <v>1574</v>
      </c>
      <c r="D406" s="63" t="s">
        <v>21</v>
      </c>
    </row>
    <row r="407" s="38" customFormat="1" customHeight="1" spans="1:4">
      <c r="A407" s="43">
        <v>404</v>
      </c>
      <c r="B407" s="65" t="s">
        <v>1575</v>
      </c>
      <c r="C407" s="66" t="s">
        <v>1576</v>
      </c>
      <c r="D407" s="56" t="s">
        <v>15</v>
      </c>
    </row>
    <row r="408" customHeight="1" spans="1:4">
      <c r="A408" s="43">
        <v>405</v>
      </c>
      <c r="B408" s="54" t="s">
        <v>1577</v>
      </c>
      <c r="C408" s="55" t="s">
        <v>1578</v>
      </c>
      <c r="D408" s="56" t="s">
        <v>21</v>
      </c>
    </row>
    <row r="409" customHeight="1" spans="1:4">
      <c r="A409" s="43">
        <v>406</v>
      </c>
      <c r="B409" s="54" t="s">
        <v>1579</v>
      </c>
      <c r="C409" s="55" t="s">
        <v>1580</v>
      </c>
      <c r="D409" s="56" t="s">
        <v>21</v>
      </c>
    </row>
    <row r="410" customHeight="1" spans="1:4">
      <c r="A410" s="43">
        <v>407</v>
      </c>
      <c r="B410" s="54" t="s">
        <v>1581</v>
      </c>
      <c r="C410" s="55" t="s">
        <v>1582</v>
      </c>
      <c r="D410" s="56" t="s">
        <v>21</v>
      </c>
    </row>
    <row r="411" customHeight="1" spans="1:4">
      <c r="A411" s="43">
        <v>408</v>
      </c>
      <c r="B411" s="54" t="s">
        <v>1583</v>
      </c>
      <c r="C411" s="55" t="s">
        <v>1584</v>
      </c>
      <c r="D411" s="56" t="s">
        <v>21</v>
      </c>
    </row>
    <row r="412" customHeight="1" spans="1:4">
      <c r="A412" s="43">
        <v>409</v>
      </c>
      <c r="B412" s="54" t="s">
        <v>1585</v>
      </c>
      <c r="C412" s="62" t="s">
        <v>1586</v>
      </c>
      <c r="D412" s="63" t="s">
        <v>21</v>
      </c>
    </row>
    <row r="413" customHeight="1" spans="1:4">
      <c r="A413" s="43">
        <v>410</v>
      </c>
      <c r="B413" s="54" t="s">
        <v>1587</v>
      </c>
      <c r="C413" s="62" t="s">
        <v>1588</v>
      </c>
      <c r="D413" s="63" t="s">
        <v>21</v>
      </c>
    </row>
    <row r="414" customHeight="1" spans="1:4">
      <c r="A414" s="43">
        <v>411</v>
      </c>
      <c r="B414" s="145" t="s">
        <v>1589</v>
      </c>
      <c r="C414" s="62" t="s">
        <v>1590</v>
      </c>
      <c r="D414" s="63" t="s">
        <v>21</v>
      </c>
    </row>
    <row r="415" customHeight="1" spans="1:4">
      <c r="A415" s="43">
        <v>412</v>
      </c>
      <c r="B415" s="54" t="s">
        <v>1591</v>
      </c>
      <c r="C415" s="55" t="s">
        <v>1592</v>
      </c>
      <c r="D415" s="56" t="s">
        <v>21</v>
      </c>
    </row>
    <row r="416" customHeight="1" spans="1:4">
      <c r="A416" s="43">
        <v>413</v>
      </c>
      <c r="B416" s="54" t="s">
        <v>1593</v>
      </c>
      <c r="C416" s="62" t="s">
        <v>1594</v>
      </c>
      <c r="D416" s="63" t="s">
        <v>21</v>
      </c>
    </row>
    <row r="417" customHeight="1" spans="1:4">
      <c r="A417" s="43">
        <v>414</v>
      </c>
      <c r="B417" s="54" t="s">
        <v>1595</v>
      </c>
      <c r="C417" s="62" t="s">
        <v>1596</v>
      </c>
      <c r="D417" s="63" t="s">
        <v>21</v>
      </c>
    </row>
    <row r="418" customHeight="1" spans="1:4">
      <c r="A418" s="43">
        <v>415</v>
      </c>
      <c r="B418" s="54" t="s">
        <v>1597</v>
      </c>
      <c r="C418" s="62" t="s">
        <v>1598</v>
      </c>
      <c r="D418" s="63" t="s">
        <v>21</v>
      </c>
    </row>
    <row r="419" customHeight="1" spans="1:4">
      <c r="A419" s="43">
        <v>416</v>
      </c>
      <c r="B419" s="54" t="s">
        <v>1599</v>
      </c>
      <c r="C419" s="62" t="s">
        <v>1600</v>
      </c>
      <c r="D419" s="63" t="s">
        <v>21</v>
      </c>
    </row>
    <row r="420" customHeight="1" spans="1:4">
      <c r="A420" s="43">
        <v>417</v>
      </c>
      <c r="B420" s="50" t="s">
        <v>1601</v>
      </c>
      <c r="C420" s="55" t="s">
        <v>1602</v>
      </c>
      <c r="D420" s="43" t="s">
        <v>21</v>
      </c>
    </row>
    <row r="421" customHeight="1" spans="1:4">
      <c r="A421" s="43">
        <v>418</v>
      </c>
      <c r="B421" s="50" t="s">
        <v>1603</v>
      </c>
      <c r="C421" s="55" t="s">
        <v>1604</v>
      </c>
      <c r="D421" s="43" t="s">
        <v>21</v>
      </c>
    </row>
    <row r="422" customHeight="1" spans="1:4">
      <c r="A422" s="43">
        <v>419</v>
      </c>
      <c r="B422" s="54" t="s">
        <v>1605</v>
      </c>
      <c r="C422" s="62" t="s">
        <v>1606</v>
      </c>
      <c r="D422" s="63" t="s">
        <v>21</v>
      </c>
    </row>
    <row r="423" customHeight="1" spans="1:4">
      <c r="A423" s="43">
        <v>420</v>
      </c>
      <c r="B423" s="54" t="s">
        <v>1607</v>
      </c>
      <c r="C423" s="62" t="s">
        <v>1608</v>
      </c>
      <c r="D423" s="63" t="s">
        <v>1609</v>
      </c>
    </row>
    <row r="424" customHeight="1" spans="1:4">
      <c r="A424" s="43">
        <v>421</v>
      </c>
      <c r="B424" s="54" t="s">
        <v>1610</v>
      </c>
      <c r="C424" s="62" t="s">
        <v>1611</v>
      </c>
      <c r="D424" s="63" t="s">
        <v>21</v>
      </c>
    </row>
    <row r="425" customHeight="1" spans="1:4">
      <c r="A425" s="43">
        <v>422</v>
      </c>
      <c r="B425" s="54" t="s">
        <v>1612</v>
      </c>
      <c r="C425" s="62" t="s">
        <v>1613</v>
      </c>
      <c r="D425" s="63" t="s">
        <v>21</v>
      </c>
    </row>
    <row r="426" customHeight="1" spans="1:4">
      <c r="A426" s="43">
        <v>423</v>
      </c>
      <c r="B426" s="54" t="s">
        <v>1614</v>
      </c>
      <c r="C426" s="62" t="s">
        <v>1615</v>
      </c>
      <c r="D426" s="63" t="s">
        <v>21</v>
      </c>
    </row>
    <row r="427" customHeight="1" spans="1:4">
      <c r="A427" s="43">
        <v>424</v>
      </c>
      <c r="B427" s="54" t="s">
        <v>1616</v>
      </c>
      <c r="C427" s="62" t="s">
        <v>1617</v>
      </c>
      <c r="D427" s="63" t="s">
        <v>21</v>
      </c>
    </row>
    <row r="428" customHeight="1" spans="1:4">
      <c r="A428" s="43">
        <v>425</v>
      </c>
      <c r="B428" s="54" t="s">
        <v>1618</v>
      </c>
      <c r="C428" s="62" t="s">
        <v>1619</v>
      </c>
      <c r="D428" s="63" t="s">
        <v>1609</v>
      </c>
    </row>
    <row r="429" customHeight="1" spans="1:4">
      <c r="A429" s="43">
        <v>426</v>
      </c>
      <c r="B429" s="54" t="s">
        <v>1620</v>
      </c>
      <c r="C429" s="62" t="s">
        <v>1621</v>
      </c>
      <c r="D429" s="63" t="s">
        <v>21</v>
      </c>
    </row>
    <row r="430" customHeight="1" spans="1:4">
      <c r="A430" s="43">
        <v>427</v>
      </c>
      <c r="B430" s="54" t="s">
        <v>1622</v>
      </c>
      <c r="C430" s="62" t="s">
        <v>1623</v>
      </c>
      <c r="D430" s="63" t="s">
        <v>1609</v>
      </c>
    </row>
    <row r="431" customHeight="1" spans="1:4">
      <c r="A431" s="43">
        <v>428</v>
      </c>
      <c r="B431" s="54" t="s">
        <v>1624</v>
      </c>
      <c r="C431" s="62" t="s">
        <v>1625</v>
      </c>
      <c r="D431" s="63" t="s">
        <v>21</v>
      </c>
    </row>
    <row r="432" customHeight="1" spans="1:4">
      <c r="A432" s="43">
        <v>429</v>
      </c>
      <c r="B432" s="54" t="s">
        <v>1626</v>
      </c>
      <c r="C432" s="62" t="s">
        <v>1627</v>
      </c>
      <c r="D432" s="63" t="s">
        <v>1609</v>
      </c>
    </row>
    <row r="433" customHeight="1" spans="1:4">
      <c r="A433" s="43">
        <v>430</v>
      </c>
      <c r="B433" s="54" t="s">
        <v>1628</v>
      </c>
      <c r="C433" s="62" t="s">
        <v>1629</v>
      </c>
      <c r="D433" s="63" t="s">
        <v>21</v>
      </c>
    </row>
    <row r="434" customHeight="1" spans="1:4">
      <c r="A434" s="43">
        <v>431</v>
      </c>
      <c r="B434" s="54" t="s">
        <v>1630</v>
      </c>
      <c r="C434" s="62" t="s">
        <v>1631</v>
      </c>
      <c r="D434" s="63" t="s">
        <v>1609</v>
      </c>
    </row>
    <row r="435" customHeight="1" spans="1:4">
      <c r="A435" s="43">
        <v>432</v>
      </c>
      <c r="B435" s="54" t="s">
        <v>1632</v>
      </c>
      <c r="C435" s="62" t="s">
        <v>1633</v>
      </c>
      <c r="D435" s="63" t="s">
        <v>21</v>
      </c>
    </row>
    <row r="436" customHeight="1" spans="1:4">
      <c r="A436" s="43">
        <v>433</v>
      </c>
      <c r="B436" s="54" t="s">
        <v>1634</v>
      </c>
      <c r="C436" s="62" t="s">
        <v>1635</v>
      </c>
      <c r="D436" s="63" t="s">
        <v>21</v>
      </c>
    </row>
    <row r="437" customHeight="1" spans="1:4">
      <c r="A437" s="43">
        <v>434</v>
      </c>
      <c r="B437" s="54" t="s">
        <v>1636</v>
      </c>
      <c r="C437" s="62" t="s">
        <v>1637</v>
      </c>
      <c r="D437" s="63" t="s">
        <v>21</v>
      </c>
    </row>
    <row r="438" customHeight="1" spans="1:4">
      <c r="A438" s="43">
        <v>435</v>
      </c>
      <c r="B438" s="54" t="s">
        <v>1638</v>
      </c>
      <c r="C438" s="62" t="s">
        <v>1639</v>
      </c>
      <c r="D438" s="63" t="s">
        <v>21</v>
      </c>
    </row>
    <row r="439" customHeight="1" spans="1:4">
      <c r="A439" s="43">
        <v>436</v>
      </c>
      <c r="B439" s="50" t="s">
        <v>1640</v>
      </c>
      <c r="C439" s="49" t="s">
        <v>1641</v>
      </c>
      <c r="D439" s="50" t="s">
        <v>15</v>
      </c>
    </row>
    <row r="440" customHeight="1" spans="1:4">
      <c r="A440" s="43">
        <v>437</v>
      </c>
      <c r="B440" s="54" t="s">
        <v>1642</v>
      </c>
      <c r="C440" s="55" t="s">
        <v>1643</v>
      </c>
      <c r="D440" s="56" t="s">
        <v>21</v>
      </c>
    </row>
    <row r="441" customHeight="1" spans="1:4">
      <c r="A441" s="43">
        <v>438</v>
      </c>
      <c r="B441" s="54" t="s">
        <v>1644</v>
      </c>
      <c r="C441" s="55" t="s">
        <v>1645</v>
      </c>
      <c r="D441" s="56" t="s">
        <v>21</v>
      </c>
    </row>
    <row r="442" customHeight="1" spans="1:4">
      <c r="A442" s="43">
        <v>439</v>
      </c>
      <c r="B442" s="54" t="s">
        <v>1646</v>
      </c>
      <c r="C442" s="62" t="s">
        <v>1647</v>
      </c>
      <c r="D442" s="63" t="s">
        <v>1648</v>
      </c>
    </row>
    <row r="443" customHeight="1" spans="1:4">
      <c r="A443" s="43">
        <v>440</v>
      </c>
      <c r="B443" s="54" t="s">
        <v>1649</v>
      </c>
      <c r="C443" s="62" t="s">
        <v>1650</v>
      </c>
      <c r="D443" s="63" t="s">
        <v>1648</v>
      </c>
    </row>
    <row r="444" customHeight="1" spans="1:4">
      <c r="A444" s="43">
        <v>441</v>
      </c>
      <c r="B444" s="54" t="s">
        <v>1651</v>
      </c>
      <c r="C444" s="62" t="s">
        <v>1652</v>
      </c>
      <c r="D444" s="63" t="s">
        <v>1648</v>
      </c>
    </row>
    <row r="445" customHeight="1" spans="1:4">
      <c r="A445" s="43">
        <v>442</v>
      </c>
      <c r="B445" s="54" t="s">
        <v>1653</v>
      </c>
      <c r="C445" s="62" t="s">
        <v>1654</v>
      </c>
      <c r="D445" s="63" t="s">
        <v>1648</v>
      </c>
    </row>
    <row r="446" customHeight="1" spans="1:4">
      <c r="A446" s="43">
        <v>443</v>
      </c>
      <c r="B446" s="54" t="s">
        <v>1655</v>
      </c>
      <c r="C446" s="62" t="s">
        <v>1656</v>
      </c>
      <c r="D446" s="63" t="s">
        <v>1648</v>
      </c>
    </row>
    <row r="447" customHeight="1" spans="1:4">
      <c r="A447" s="43">
        <v>444</v>
      </c>
      <c r="B447" s="50" t="s">
        <v>1657</v>
      </c>
      <c r="C447" s="67" t="s">
        <v>1658</v>
      </c>
      <c r="D447" s="43" t="s">
        <v>21</v>
      </c>
    </row>
    <row r="448" customHeight="1" spans="1:4">
      <c r="A448" s="43">
        <v>445</v>
      </c>
      <c r="B448" s="145" t="s">
        <v>1659</v>
      </c>
      <c r="C448" s="62" t="s">
        <v>1660</v>
      </c>
      <c r="D448" s="63" t="s">
        <v>21</v>
      </c>
    </row>
    <row r="449" customHeight="1" spans="1:4">
      <c r="A449" s="43">
        <v>446</v>
      </c>
      <c r="B449" s="54" t="s">
        <v>1661</v>
      </c>
      <c r="C449" s="62" t="s">
        <v>1662</v>
      </c>
      <c r="D449" s="63" t="s">
        <v>21</v>
      </c>
    </row>
    <row r="450" customHeight="1" spans="1:4">
      <c r="A450" s="43">
        <v>447</v>
      </c>
      <c r="B450" s="54" t="s">
        <v>1663</v>
      </c>
      <c r="C450" s="62" t="s">
        <v>1664</v>
      </c>
      <c r="D450" s="63" t="s">
        <v>21</v>
      </c>
    </row>
    <row r="451" customHeight="1" spans="1:4">
      <c r="A451" s="43">
        <v>448</v>
      </c>
      <c r="B451" s="54" t="s">
        <v>1665</v>
      </c>
      <c r="C451" s="55" t="s">
        <v>1666</v>
      </c>
      <c r="D451" s="56" t="s">
        <v>21</v>
      </c>
    </row>
    <row r="452" customHeight="1" spans="1:4">
      <c r="A452" s="43">
        <v>449</v>
      </c>
      <c r="B452" s="54" t="s">
        <v>1667</v>
      </c>
      <c r="C452" s="62" t="s">
        <v>1668</v>
      </c>
      <c r="D452" s="63" t="s">
        <v>21</v>
      </c>
    </row>
    <row r="453" customHeight="1" spans="1:4">
      <c r="A453" s="43">
        <v>450</v>
      </c>
      <c r="B453" s="54" t="s">
        <v>1669</v>
      </c>
      <c r="C453" s="62" t="s">
        <v>1670</v>
      </c>
      <c r="D453" s="63" t="s">
        <v>21</v>
      </c>
    </row>
    <row r="454" customHeight="1" spans="1:4">
      <c r="A454" s="43">
        <v>451</v>
      </c>
      <c r="B454" s="54" t="s">
        <v>1671</v>
      </c>
      <c r="C454" s="55" t="s">
        <v>1672</v>
      </c>
      <c r="D454" s="56" t="s">
        <v>21</v>
      </c>
    </row>
    <row r="455" customHeight="1" spans="1:4">
      <c r="A455" s="43">
        <v>452</v>
      </c>
      <c r="B455" s="54" t="s">
        <v>1673</v>
      </c>
      <c r="C455" s="62" t="s">
        <v>1674</v>
      </c>
      <c r="D455" s="63" t="s">
        <v>21</v>
      </c>
    </row>
    <row r="456" customHeight="1" spans="1:4">
      <c r="A456" s="43">
        <v>453</v>
      </c>
      <c r="B456" s="145" t="s">
        <v>1675</v>
      </c>
      <c r="C456" s="62" t="s">
        <v>1676</v>
      </c>
      <c r="D456" s="63" t="s">
        <v>1648</v>
      </c>
    </row>
    <row r="457" customHeight="1" spans="1:4">
      <c r="A457" s="43">
        <v>454</v>
      </c>
      <c r="B457" s="54" t="s">
        <v>1677</v>
      </c>
      <c r="C457" s="55" t="s">
        <v>1678</v>
      </c>
      <c r="D457" s="56" t="s">
        <v>21</v>
      </c>
    </row>
    <row r="458" customHeight="1" spans="1:4">
      <c r="A458" s="43">
        <v>455</v>
      </c>
      <c r="B458" s="54" t="s">
        <v>1679</v>
      </c>
      <c r="C458" s="55" t="s">
        <v>1680</v>
      </c>
      <c r="D458" s="56" t="s">
        <v>21</v>
      </c>
    </row>
    <row r="459" customHeight="1" spans="1:4">
      <c r="A459" s="43">
        <v>456</v>
      </c>
      <c r="B459" s="54" t="s">
        <v>1681</v>
      </c>
      <c r="C459" s="55" t="s">
        <v>1682</v>
      </c>
      <c r="D459" s="56" t="s">
        <v>21</v>
      </c>
    </row>
    <row r="460" customHeight="1" spans="1:4">
      <c r="A460" s="43">
        <v>457</v>
      </c>
      <c r="B460" s="54" t="s">
        <v>1683</v>
      </c>
      <c r="C460" s="55" t="s">
        <v>1684</v>
      </c>
      <c r="D460" s="56" t="s">
        <v>21</v>
      </c>
    </row>
    <row r="461" customHeight="1" spans="1:4">
      <c r="A461" s="43">
        <v>458</v>
      </c>
      <c r="B461" s="54" t="s">
        <v>1685</v>
      </c>
      <c r="C461" s="55" t="s">
        <v>1686</v>
      </c>
      <c r="D461" s="56" t="s">
        <v>21</v>
      </c>
    </row>
    <row r="462" customHeight="1" spans="1:4">
      <c r="A462" s="43">
        <v>459</v>
      </c>
      <c r="B462" s="145" t="s">
        <v>1687</v>
      </c>
      <c r="C462" s="55" t="s">
        <v>1688</v>
      </c>
      <c r="D462" s="56" t="s">
        <v>21</v>
      </c>
    </row>
    <row r="463" customHeight="1" spans="1:4">
      <c r="A463" s="43">
        <v>460</v>
      </c>
      <c r="B463" s="54" t="s">
        <v>1689</v>
      </c>
      <c r="C463" s="55" t="s">
        <v>1690</v>
      </c>
      <c r="D463" s="56" t="s">
        <v>21</v>
      </c>
    </row>
    <row r="464" customHeight="1" spans="1:4">
      <c r="A464" s="43">
        <v>461</v>
      </c>
      <c r="B464" s="145" t="s">
        <v>1691</v>
      </c>
      <c r="C464" s="55" t="s">
        <v>1692</v>
      </c>
      <c r="D464" s="56" t="s">
        <v>21</v>
      </c>
    </row>
    <row r="465" customHeight="1" spans="1:4">
      <c r="A465" s="43">
        <v>462</v>
      </c>
      <c r="B465" s="145" t="s">
        <v>1691</v>
      </c>
      <c r="C465" s="52" t="s">
        <v>1693</v>
      </c>
      <c r="D465" s="56" t="s">
        <v>21</v>
      </c>
    </row>
    <row r="466" customHeight="1" spans="1:4">
      <c r="A466" s="43">
        <v>463</v>
      </c>
      <c r="B466" s="54" t="s">
        <v>1694</v>
      </c>
      <c r="C466" s="55" t="s">
        <v>1695</v>
      </c>
      <c r="D466" s="56" t="s">
        <v>21</v>
      </c>
    </row>
    <row r="467" customHeight="1" spans="1:4">
      <c r="A467" s="43">
        <v>464</v>
      </c>
      <c r="B467" s="54" t="s">
        <v>1696</v>
      </c>
      <c r="C467" s="55" t="s">
        <v>1697</v>
      </c>
      <c r="D467" s="56" t="s">
        <v>15</v>
      </c>
    </row>
    <row r="468" customHeight="1" spans="1:4">
      <c r="A468" s="43">
        <v>465</v>
      </c>
      <c r="B468" s="54" t="s">
        <v>1698</v>
      </c>
      <c r="C468" s="62" t="s">
        <v>1699</v>
      </c>
      <c r="D468" s="63" t="s">
        <v>1700</v>
      </c>
    </row>
    <row r="469" customHeight="1" spans="1:4">
      <c r="A469" s="43">
        <v>466</v>
      </c>
      <c r="B469" s="54" t="s">
        <v>1701</v>
      </c>
      <c r="C469" s="62" t="s">
        <v>1702</v>
      </c>
      <c r="D469" s="63" t="s">
        <v>1703</v>
      </c>
    </row>
    <row r="470" customHeight="1" spans="1:4">
      <c r="A470" s="43">
        <v>467</v>
      </c>
      <c r="B470" s="68" t="s">
        <v>1704</v>
      </c>
      <c r="C470" s="67" t="s">
        <v>1705</v>
      </c>
      <c r="D470" s="43" t="s">
        <v>21</v>
      </c>
    </row>
    <row r="471" customHeight="1" spans="1:4">
      <c r="A471" s="43">
        <v>468</v>
      </c>
      <c r="B471" s="51" t="s">
        <v>1706</v>
      </c>
      <c r="C471" s="61" t="s">
        <v>1707</v>
      </c>
      <c r="D471" s="43" t="s">
        <v>15</v>
      </c>
    </row>
    <row r="472" customHeight="1" spans="1:4">
      <c r="A472" s="43">
        <v>469</v>
      </c>
      <c r="B472" s="54" t="s">
        <v>1708</v>
      </c>
      <c r="C472" s="62" t="s">
        <v>1709</v>
      </c>
      <c r="D472" s="63" t="s">
        <v>15</v>
      </c>
    </row>
    <row r="473" customHeight="1" spans="1:4">
      <c r="A473" s="43">
        <v>470</v>
      </c>
      <c r="B473" s="63" t="s">
        <v>1710</v>
      </c>
      <c r="C473" s="62" t="s">
        <v>1711</v>
      </c>
      <c r="D473" s="63" t="s">
        <v>21</v>
      </c>
    </row>
    <row r="474" customHeight="1" spans="1:4">
      <c r="A474" s="43">
        <v>471</v>
      </c>
      <c r="B474" s="145" t="s">
        <v>1712</v>
      </c>
      <c r="C474" s="62" t="s">
        <v>1713</v>
      </c>
      <c r="D474" s="63" t="s">
        <v>21</v>
      </c>
    </row>
    <row r="475" customHeight="1" spans="1:4">
      <c r="A475" s="43">
        <v>472</v>
      </c>
      <c r="B475" s="50" t="s">
        <v>1714</v>
      </c>
      <c r="C475" s="49" t="s">
        <v>1715</v>
      </c>
      <c r="D475" s="50" t="s">
        <v>1609</v>
      </c>
    </row>
    <row r="476" customHeight="1" spans="1:4">
      <c r="A476" s="43">
        <v>473</v>
      </c>
      <c r="B476" s="145" t="s">
        <v>1716</v>
      </c>
      <c r="C476" s="62" t="s">
        <v>1717</v>
      </c>
      <c r="D476" s="63" t="s">
        <v>1718</v>
      </c>
    </row>
    <row r="477" customHeight="1" spans="1:4">
      <c r="A477" s="43">
        <v>474</v>
      </c>
      <c r="B477" s="145" t="s">
        <v>1719</v>
      </c>
      <c r="C477" s="62" t="s">
        <v>1720</v>
      </c>
      <c r="D477" s="63" t="s">
        <v>1718</v>
      </c>
    </row>
    <row r="478" customHeight="1" spans="1:4">
      <c r="A478" s="43">
        <v>475</v>
      </c>
      <c r="B478" s="145" t="s">
        <v>1721</v>
      </c>
      <c r="C478" s="62" t="s">
        <v>1722</v>
      </c>
      <c r="D478" s="63" t="s">
        <v>1718</v>
      </c>
    </row>
    <row r="479" customHeight="1" spans="1:4">
      <c r="A479" s="43">
        <v>476</v>
      </c>
      <c r="B479" s="145" t="s">
        <v>1723</v>
      </c>
      <c r="C479" s="62" t="s">
        <v>1724</v>
      </c>
      <c r="D479" s="63" t="s">
        <v>1718</v>
      </c>
    </row>
    <row r="480" customHeight="1" spans="1:4">
      <c r="A480" s="43">
        <v>477</v>
      </c>
      <c r="B480" s="145" t="s">
        <v>1725</v>
      </c>
      <c r="C480" s="62" t="s">
        <v>1726</v>
      </c>
      <c r="D480" s="63" t="s">
        <v>1718</v>
      </c>
    </row>
    <row r="481" customHeight="1" spans="1:4">
      <c r="A481" s="43">
        <v>478</v>
      </c>
      <c r="B481" s="145" t="s">
        <v>1727</v>
      </c>
      <c r="C481" s="62" t="s">
        <v>1728</v>
      </c>
      <c r="D481" s="63" t="s">
        <v>1718</v>
      </c>
    </row>
    <row r="482" customHeight="1" spans="1:4">
      <c r="A482" s="43">
        <v>479</v>
      </c>
      <c r="B482" s="54" t="s">
        <v>1729</v>
      </c>
      <c r="C482" s="62" t="s">
        <v>1730</v>
      </c>
      <c r="D482" s="63" t="s">
        <v>1718</v>
      </c>
    </row>
    <row r="483" customHeight="1" spans="1:4">
      <c r="A483" s="43">
        <v>480</v>
      </c>
      <c r="B483" s="54" t="s">
        <v>1731</v>
      </c>
      <c r="C483" s="62" t="s">
        <v>1732</v>
      </c>
      <c r="D483" s="63" t="s">
        <v>1718</v>
      </c>
    </row>
    <row r="484" customHeight="1" spans="1:4">
      <c r="A484" s="43">
        <v>481</v>
      </c>
      <c r="B484" s="54" t="s">
        <v>1733</v>
      </c>
      <c r="C484" s="62" t="s">
        <v>1734</v>
      </c>
      <c r="D484" s="63" t="s">
        <v>1718</v>
      </c>
    </row>
    <row r="485" customHeight="1" spans="1:4">
      <c r="A485" s="43">
        <v>482</v>
      </c>
      <c r="B485" s="51" t="s">
        <v>1735</v>
      </c>
      <c r="C485" s="61" t="s">
        <v>1736</v>
      </c>
      <c r="D485" s="69" t="s">
        <v>1718</v>
      </c>
    </row>
    <row r="486" customHeight="1" spans="1:4">
      <c r="A486" s="43">
        <v>483</v>
      </c>
      <c r="B486" s="54" t="s">
        <v>1737</v>
      </c>
      <c r="C486" s="62" t="s">
        <v>1738</v>
      </c>
      <c r="D486" s="63" t="s">
        <v>1718</v>
      </c>
    </row>
    <row r="487" customHeight="1" spans="1:4">
      <c r="A487" s="43">
        <v>484</v>
      </c>
      <c r="B487" s="54" t="s">
        <v>1739</v>
      </c>
      <c r="C487" s="62" t="s">
        <v>1740</v>
      </c>
      <c r="D487" s="63" t="s">
        <v>1718</v>
      </c>
    </row>
    <row r="488" customHeight="1" spans="1:4">
      <c r="A488" s="43">
        <v>485</v>
      </c>
      <c r="B488" s="54" t="s">
        <v>1741</v>
      </c>
      <c r="C488" s="62" t="s">
        <v>1742</v>
      </c>
      <c r="D488" s="63" t="s">
        <v>21</v>
      </c>
    </row>
    <row r="489" customHeight="1" spans="1:4">
      <c r="A489" s="43">
        <v>486</v>
      </c>
      <c r="B489" s="54" t="s">
        <v>1743</v>
      </c>
      <c r="C489" s="62" t="s">
        <v>1744</v>
      </c>
      <c r="D489" s="63" t="s">
        <v>21</v>
      </c>
    </row>
    <row r="490" customHeight="1" spans="1:4">
      <c r="A490" s="43">
        <v>487</v>
      </c>
      <c r="B490" s="54" t="s">
        <v>1745</v>
      </c>
      <c r="C490" s="62" t="s">
        <v>1746</v>
      </c>
      <c r="D490" s="63" t="s">
        <v>21</v>
      </c>
    </row>
    <row r="491" customHeight="1" spans="1:4">
      <c r="A491" s="43">
        <v>488</v>
      </c>
      <c r="B491" s="54" t="s">
        <v>1747</v>
      </c>
      <c r="C491" s="62" t="s">
        <v>1748</v>
      </c>
      <c r="D491" s="63" t="s">
        <v>21</v>
      </c>
    </row>
    <row r="492" customHeight="1" spans="1:4">
      <c r="A492" s="43">
        <v>489</v>
      </c>
      <c r="B492" s="54" t="s">
        <v>1749</v>
      </c>
      <c r="C492" s="62" t="s">
        <v>1750</v>
      </c>
      <c r="D492" s="63" t="s">
        <v>21</v>
      </c>
    </row>
    <row r="493" customHeight="1" spans="1:4">
      <c r="A493" s="43">
        <v>490</v>
      </c>
      <c r="B493" s="54" t="s">
        <v>1751</v>
      </c>
      <c r="C493" s="62" t="s">
        <v>1752</v>
      </c>
      <c r="D493" s="63" t="s">
        <v>21</v>
      </c>
    </row>
    <row r="494" customHeight="1" spans="1:4">
      <c r="A494" s="43">
        <v>491</v>
      </c>
      <c r="B494" s="54" t="s">
        <v>1753</v>
      </c>
      <c r="C494" s="62" t="s">
        <v>1754</v>
      </c>
      <c r="D494" s="63" t="s">
        <v>21</v>
      </c>
    </row>
    <row r="495" customHeight="1" spans="1:4">
      <c r="A495" s="43">
        <v>492</v>
      </c>
      <c r="B495" s="54" t="s">
        <v>1755</v>
      </c>
      <c r="C495" s="55" t="s">
        <v>1756</v>
      </c>
      <c r="D495" s="56" t="s">
        <v>21</v>
      </c>
    </row>
    <row r="496" customHeight="1" spans="1:4">
      <c r="A496" s="43">
        <v>493</v>
      </c>
      <c r="B496" s="54" t="s">
        <v>1757</v>
      </c>
      <c r="C496" s="62" t="s">
        <v>1758</v>
      </c>
      <c r="D496" s="63" t="s">
        <v>21</v>
      </c>
    </row>
    <row r="497" customHeight="1" spans="1:4">
      <c r="A497" s="43">
        <v>494</v>
      </c>
      <c r="B497" s="54" t="s">
        <v>1759</v>
      </c>
      <c r="C497" s="62" t="s">
        <v>1760</v>
      </c>
      <c r="D497" s="63" t="s">
        <v>21</v>
      </c>
    </row>
    <row r="498" customHeight="1" spans="1:4">
      <c r="A498" s="43">
        <v>495</v>
      </c>
      <c r="B498" s="54" t="s">
        <v>1761</v>
      </c>
      <c r="C498" s="62" t="s">
        <v>1762</v>
      </c>
      <c r="D498" s="63" t="s">
        <v>21</v>
      </c>
    </row>
    <row r="499" customHeight="1" spans="1:4">
      <c r="A499" s="43">
        <v>496</v>
      </c>
      <c r="B499" s="54" t="s">
        <v>1763</v>
      </c>
      <c r="C499" s="62" t="s">
        <v>1764</v>
      </c>
      <c r="D499" s="63" t="s">
        <v>21</v>
      </c>
    </row>
    <row r="500" customHeight="1" spans="1:4">
      <c r="A500" s="43">
        <v>497</v>
      </c>
      <c r="B500" s="54" t="s">
        <v>1765</v>
      </c>
      <c r="C500" s="62" t="s">
        <v>1766</v>
      </c>
      <c r="D500" s="63" t="s">
        <v>21</v>
      </c>
    </row>
    <row r="501" customHeight="1" spans="1:4">
      <c r="A501" s="43">
        <v>498</v>
      </c>
      <c r="B501" s="54" t="s">
        <v>1767</v>
      </c>
      <c r="C501" s="62" t="s">
        <v>1768</v>
      </c>
      <c r="D501" s="63" t="s">
        <v>21</v>
      </c>
    </row>
    <row r="502" customHeight="1" spans="1:4">
      <c r="A502" s="43">
        <v>499</v>
      </c>
      <c r="B502" s="54" t="s">
        <v>1769</v>
      </c>
      <c r="C502" s="62" t="s">
        <v>1770</v>
      </c>
      <c r="D502" s="63" t="s">
        <v>21</v>
      </c>
    </row>
    <row r="503" customHeight="1" spans="1:4">
      <c r="A503" s="43">
        <v>500</v>
      </c>
      <c r="B503" s="54" t="s">
        <v>1771</v>
      </c>
      <c r="C503" s="62" t="s">
        <v>1772</v>
      </c>
      <c r="D503" s="63" t="s">
        <v>21</v>
      </c>
    </row>
    <row r="504" customHeight="1" spans="1:4">
      <c r="A504" s="43">
        <v>501</v>
      </c>
      <c r="B504" s="54" t="s">
        <v>1773</v>
      </c>
      <c r="C504" s="62" t="s">
        <v>1774</v>
      </c>
      <c r="D504" s="63" t="s">
        <v>21</v>
      </c>
    </row>
    <row r="505" customHeight="1" spans="1:4">
      <c r="A505" s="43">
        <v>502</v>
      </c>
      <c r="B505" s="54" t="s">
        <v>1775</v>
      </c>
      <c r="C505" s="62" t="s">
        <v>1776</v>
      </c>
      <c r="D505" s="63" t="s">
        <v>21</v>
      </c>
    </row>
    <row r="506" customHeight="1" spans="1:4">
      <c r="A506" s="43">
        <v>503</v>
      </c>
      <c r="B506" s="54" t="s">
        <v>1777</v>
      </c>
      <c r="C506" s="62" t="s">
        <v>1778</v>
      </c>
      <c r="D506" s="63" t="s">
        <v>21</v>
      </c>
    </row>
    <row r="507" customHeight="1" spans="1:4">
      <c r="A507" s="43">
        <v>504</v>
      </c>
      <c r="B507" s="54" t="s">
        <v>1779</v>
      </c>
      <c r="C507" s="62" t="s">
        <v>1780</v>
      </c>
      <c r="D507" s="63" t="s">
        <v>21</v>
      </c>
    </row>
    <row r="508" customHeight="1" spans="1:4">
      <c r="A508" s="43">
        <v>505</v>
      </c>
      <c r="B508" s="54" t="s">
        <v>1781</v>
      </c>
      <c r="C508" s="62" t="s">
        <v>1782</v>
      </c>
      <c r="D508" s="63" t="s">
        <v>21</v>
      </c>
    </row>
    <row r="509" customHeight="1" spans="1:4">
      <c r="A509" s="43">
        <v>506</v>
      </c>
      <c r="B509" s="54" t="s">
        <v>1783</v>
      </c>
      <c r="C509" s="62" t="s">
        <v>1784</v>
      </c>
      <c r="D509" s="63" t="s">
        <v>21</v>
      </c>
    </row>
    <row r="510" customHeight="1" spans="1:4">
      <c r="A510" s="43">
        <v>507</v>
      </c>
      <c r="B510" s="54" t="s">
        <v>1785</v>
      </c>
      <c r="C510" s="62" t="s">
        <v>1786</v>
      </c>
      <c r="D510" s="63" t="s">
        <v>21</v>
      </c>
    </row>
    <row r="511" customHeight="1" spans="1:4">
      <c r="A511" s="43">
        <v>508</v>
      </c>
      <c r="B511" s="54" t="s">
        <v>1787</v>
      </c>
      <c r="C511" s="62" t="s">
        <v>1788</v>
      </c>
      <c r="D511" s="63" t="s">
        <v>21</v>
      </c>
    </row>
    <row r="512" customHeight="1" spans="1:4">
      <c r="A512" s="43">
        <v>509</v>
      </c>
      <c r="B512" s="54" t="s">
        <v>1789</v>
      </c>
      <c r="C512" s="62" t="s">
        <v>1790</v>
      </c>
      <c r="D512" s="63" t="s">
        <v>21</v>
      </c>
    </row>
    <row r="513" customHeight="1" spans="1:4">
      <c r="A513" s="43">
        <v>510</v>
      </c>
      <c r="B513" s="54" t="s">
        <v>1791</v>
      </c>
      <c r="C513" s="62" t="s">
        <v>1792</v>
      </c>
      <c r="D513" s="63" t="s">
        <v>21</v>
      </c>
    </row>
    <row r="514" customHeight="1" spans="1:4">
      <c r="A514" s="43">
        <v>511</v>
      </c>
      <c r="B514" s="54" t="s">
        <v>1793</v>
      </c>
      <c r="C514" s="62" t="s">
        <v>1794</v>
      </c>
      <c r="D514" s="63" t="s">
        <v>21</v>
      </c>
    </row>
    <row r="515" customHeight="1" spans="1:4">
      <c r="A515" s="43">
        <v>512</v>
      </c>
      <c r="B515" s="145" t="s">
        <v>1795</v>
      </c>
      <c r="C515" s="62" t="s">
        <v>1796</v>
      </c>
      <c r="D515" s="63" t="s">
        <v>21</v>
      </c>
    </row>
    <row r="516" customHeight="1" spans="1:4">
      <c r="A516" s="43">
        <v>513</v>
      </c>
      <c r="B516" s="54" t="s">
        <v>1797</v>
      </c>
      <c r="C516" s="62" t="s">
        <v>1798</v>
      </c>
      <c r="D516" s="63" t="s">
        <v>21</v>
      </c>
    </row>
    <row r="517" customHeight="1" spans="1:4">
      <c r="A517" s="43">
        <v>514</v>
      </c>
      <c r="B517" s="54" t="s">
        <v>1799</v>
      </c>
      <c r="C517" s="62" t="s">
        <v>1800</v>
      </c>
      <c r="D517" s="63" t="s">
        <v>21</v>
      </c>
    </row>
    <row r="518" customHeight="1" spans="1:4">
      <c r="A518" s="43">
        <v>515</v>
      </c>
      <c r="B518" s="54" t="s">
        <v>1801</v>
      </c>
      <c r="C518" s="62" t="s">
        <v>1802</v>
      </c>
      <c r="D518" s="63" t="s">
        <v>21</v>
      </c>
    </row>
    <row r="519" customHeight="1" spans="1:4">
      <c r="A519" s="43">
        <v>516</v>
      </c>
      <c r="B519" s="54" t="s">
        <v>1803</v>
      </c>
      <c r="C519" s="62" t="s">
        <v>1804</v>
      </c>
      <c r="D519" s="63" t="s">
        <v>21</v>
      </c>
    </row>
    <row r="520" customHeight="1" spans="1:4">
      <c r="A520" s="43">
        <v>517</v>
      </c>
      <c r="B520" s="54" t="s">
        <v>1805</v>
      </c>
      <c r="C520" s="62" t="s">
        <v>1806</v>
      </c>
      <c r="D520" s="63" t="s">
        <v>21</v>
      </c>
    </row>
    <row r="521" customHeight="1" spans="1:4">
      <c r="A521" s="43">
        <v>518</v>
      </c>
      <c r="B521" s="54" t="s">
        <v>1807</v>
      </c>
      <c r="C521" s="62" t="s">
        <v>1808</v>
      </c>
      <c r="D521" s="63" t="s">
        <v>21</v>
      </c>
    </row>
    <row r="522" customHeight="1" spans="1:4">
      <c r="A522" s="43">
        <v>519</v>
      </c>
      <c r="B522" s="54" t="s">
        <v>1809</v>
      </c>
      <c r="C522" s="62" t="s">
        <v>1810</v>
      </c>
      <c r="D522" s="63" t="s">
        <v>21</v>
      </c>
    </row>
    <row r="523" customHeight="1" spans="1:4">
      <c r="A523" s="43">
        <v>520</v>
      </c>
      <c r="B523" s="54" t="s">
        <v>1811</v>
      </c>
      <c r="C523" s="62" t="s">
        <v>1812</v>
      </c>
      <c r="D523" s="63" t="s">
        <v>21</v>
      </c>
    </row>
    <row r="524" customHeight="1" spans="1:4">
      <c r="A524" s="43">
        <v>521</v>
      </c>
      <c r="B524" s="54" t="s">
        <v>1813</v>
      </c>
      <c r="C524" s="62" t="s">
        <v>1814</v>
      </c>
      <c r="D524" s="63" t="s">
        <v>1815</v>
      </c>
    </row>
    <row r="525" customHeight="1" spans="1:4">
      <c r="A525" s="43">
        <v>522</v>
      </c>
      <c r="B525" s="54" t="s">
        <v>1816</v>
      </c>
      <c r="C525" s="62" t="s">
        <v>1817</v>
      </c>
      <c r="D525" s="63" t="s">
        <v>21</v>
      </c>
    </row>
    <row r="526" customHeight="1" spans="1:4">
      <c r="A526" s="43">
        <v>523</v>
      </c>
      <c r="B526" s="145" t="s">
        <v>1818</v>
      </c>
      <c r="C526" s="62" t="s">
        <v>1819</v>
      </c>
      <c r="D526" s="63" t="s">
        <v>21</v>
      </c>
    </row>
    <row r="527" customHeight="1" spans="1:4">
      <c r="A527" s="43">
        <v>524</v>
      </c>
      <c r="B527" s="54" t="s">
        <v>1820</v>
      </c>
      <c r="C527" s="62" t="s">
        <v>1821</v>
      </c>
      <c r="D527" s="63" t="s">
        <v>21</v>
      </c>
    </row>
    <row r="528" customHeight="1" spans="1:4">
      <c r="A528" s="43">
        <v>525</v>
      </c>
      <c r="B528" s="54" t="s">
        <v>1822</v>
      </c>
      <c r="C528" s="62" t="s">
        <v>1823</v>
      </c>
      <c r="D528" s="63" t="s">
        <v>21</v>
      </c>
    </row>
    <row r="529" customHeight="1" spans="1:4">
      <c r="A529" s="43">
        <v>526</v>
      </c>
      <c r="B529" s="54" t="s">
        <v>1824</v>
      </c>
      <c r="C529" s="62" t="s">
        <v>1825</v>
      </c>
      <c r="D529" s="63" t="s">
        <v>21</v>
      </c>
    </row>
    <row r="530" customHeight="1" spans="1:4">
      <c r="A530" s="43">
        <v>527</v>
      </c>
      <c r="B530" s="54" t="s">
        <v>1826</v>
      </c>
      <c r="C530" s="62" t="s">
        <v>1827</v>
      </c>
      <c r="D530" s="63" t="s">
        <v>21</v>
      </c>
    </row>
    <row r="531" customHeight="1" spans="1:4">
      <c r="A531" s="43">
        <v>528</v>
      </c>
      <c r="B531" s="54" t="s">
        <v>1828</v>
      </c>
      <c r="C531" s="62" t="s">
        <v>1829</v>
      </c>
      <c r="D531" s="63" t="s">
        <v>21</v>
      </c>
    </row>
    <row r="532" customHeight="1" spans="1:4">
      <c r="A532" s="43">
        <v>529</v>
      </c>
      <c r="B532" s="54" t="s">
        <v>1830</v>
      </c>
      <c r="C532" s="62" t="s">
        <v>1831</v>
      </c>
      <c r="D532" s="63" t="s">
        <v>21</v>
      </c>
    </row>
    <row r="533" customHeight="1" spans="1:4">
      <c r="A533" s="43">
        <v>530</v>
      </c>
      <c r="B533" s="54" t="s">
        <v>1832</v>
      </c>
      <c r="C533" s="62" t="s">
        <v>1833</v>
      </c>
      <c r="D533" s="63" t="s">
        <v>21</v>
      </c>
    </row>
    <row r="534" customHeight="1" spans="1:4">
      <c r="A534" s="43">
        <v>531</v>
      </c>
      <c r="B534" s="54" t="s">
        <v>1834</v>
      </c>
      <c r="C534" s="62" t="s">
        <v>1835</v>
      </c>
      <c r="D534" s="63" t="s">
        <v>21</v>
      </c>
    </row>
    <row r="535" customHeight="1" spans="1:4">
      <c r="A535" s="43">
        <v>532</v>
      </c>
      <c r="B535" s="54" t="s">
        <v>1836</v>
      </c>
      <c r="C535" s="62" t="s">
        <v>1837</v>
      </c>
      <c r="D535" s="63" t="s">
        <v>1815</v>
      </c>
    </row>
    <row r="536" customHeight="1" spans="1:4">
      <c r="A536" s="43">
        <v>533</v>
      </c>
      <c r="B536" s="54" t="s">
        <v>1838</v>
      </c>
      <c r="C536" s="62" t="s">
        <v>1839</v>
      </c>
      <c r="D536" s="63" t="s">
        <v>21</v>
      </c>
    </row>
    <row r="537" customHeight="1" spans="1:4">
      <c r="A537" s="43">
        <v>534</v>
      </c>
      <c r="B537" s="54" t="s">
        <v>1840</v>
      </c>
      <c r="C537" s="62" t="s">
        <v>1841</v>
      </c>
      <c r="D537" s="63" t="s">
        <v>21</v>
      </c>
    </row>
    <row r="538" customHeight="1" spans="1:4">
      <c r="A538" s="43">
        <v>535</v>
      </c>
      <c r="B538" s="54" t="s">
        <v>1842</v>
      </c>
      <c r="C538" s="62" t="s">
        <v>1843</v>
      </c>
      <c r="D538" s="63" t="s">
        <v>21</v>
      </c>
    </row>
    <row r="539" customHeight="1" spans="1:4">
      <c r="A539" s="43">
        <v>536</v>
      </c>
      <c r="B539" s="54" t="s">
        <v>1844</v>
      </c>
      <c r="C539" s="62" t="s">
        <v>1845</v>
      </c>
      <c r="D539" s="63" t="s">
        <v>21</v>
      </c>
    </row>
    <row r="540" customHeight="1" spans="1:4">
      <c r="A540" s="43">
        <v>537</v>
      </c>
      <c r="B540" s="54" t="s">
        <v>1846</v>
      </c>
      <c r="C540" s="62" t="s">
        <v>1847</v>
      </c>
      <c r="D540" s="63" t="s">
        <v>21</v>
      </c>
    </row>
    <row r="541" customHeight="1" spans="1:4">
      <c r="A541" s="43">
        <v>538</v>
      </c>
      <c r="B541" s="54" t="s">
        <v>1848</v>
      </c>
      <c r="C541" s="62" t="s">
        <v>1849</v>
      </c>
      <c r="D541" s="63" t="s">
        <v>21</v>
      </c>
    </row>
    <row r="542" customHeight="1" spans="1:4">
      <c r="A542" s="43">
        <v>539</v>
      </c>
      <c r="B542" s="54" t="s">
        <v>1850</v>
      </c>
      <c r="C542" s="62" t="s">
        <v>1851</v>
      </c>
      <c r="D542" s="63" t="s">
        <v>21</v>
      </c>
    </row>
    <row r="543" customHeight="1" spans="1:4">
      <c r="A543" s="43">
        <v>540</v>
      </c>
      <c r="B543" s="54" t="s">
        <v>1852</v>
      </c>
      <c r="C543" s="62" t="s">
        <v>1853</v>
      </c>
      <c r="D543" s="63" t="s">
        <v>21</v>
      </c>
    </row>
    <row r="544" customHeight="1" spans="1:4">
      <c r="A544" s="43">
        <v>541</v>
      </c>
      <c r="B544" s="54" t="s">
        <v>1854</v>
      </c>
      <c r="C544" s="62" t="s">
        <v>1855</v>
      </c>
      <c r="D544" s="63" t="s">
        <v>21</v>
      </c>
    </row>
    <row r="545" customHeight="1" spans="1:4">
      <c r="A545" s="43">
        <v>542</v>
      </c>
      <c r="B545" s="54" t="s">
        <v>1856</v>
      </c>
      <c r="C545" s="62" t="s">
        <v>1857</v>
      </c>
      <c r="D545" s="63" t="s">
        <v>21</v>
      </c>
    </row>
    <row r="546" customHeight="1" spans="1:4">
      <c r="A546" s="43">
        <v>543</v>
      </c>
      <c r="B546" s="54" t="s">
        <v>1712</v>
      </c>
      <c r="C546" s="62" t="s">
        <v>1713</v>
      </c>
      <c r="D546" s="63" t="s">
        <v>21</v>
      </c>
    </row>
    <row r="547" customHeight="1" spans="1:4">
      <c r="A547" s="43">
        <v>544</v>
      </c>
      <c r="B547" s="54" t="s">
        <v>1858</v>
      </c>
      <c r="C547" s="62" t="s">
        <v>1859</v>
      </c>
      <c r="D547" s="63" t="s">
        <v>21</v>
      </c>
    </row>
    <row r="548" customHeight="1" spans="1:4">
      <c r="A548" s="43">
        <v>545</v>
      </c>
      <c r="B548" s="54" t="s">
        <v>1860</v>
      </c>
      <c r="C548" s="62" t="s">
        <v>1861</v>
      </c>
      <c r="D548" s="63" t="s">
        <v>21</v>
      </c>
    </row>
    <row r="549" customHeight="1" spans="1:4">
      <c r="A549" s="43">
        <v>546</v>
      </c>
      <c r="B549" s="54" t="s">
        <v>1862</v>
      </c>
      <c r="C549" s="62" t="s">
        <v>1863</v>
      </c>
      <c r="D549" s="63" t="s">
        <v>21</v>
      </c>
    </row>
    <row r="550" customHeight="1" spans="1:4">
      <c r="A550" s="43">
        <v>547</v>
      </c>
      <c r="B550" s="54" t="s">
        <v>1864</v>
      </c>
      <c r="C550" s="62" t="s">
        <v>1865</v>
      </c>
      <c r="D550" s="63" t="s">
        <v>21</v>
      </c>
    </row>
    <row r="551" customHeight="1" spans="1:4">
      <c r="A551" s="43">
        <v>548</v>
      </c>
      <c r="B551" s="54" t="s">
        <v>1866</v>
      </c>
      <c r="C551" s="62" t="s">
        <v>1867</v>
      </c>
      <c r="D551" s="63" t="s">
        <v>21</v>
      </c>
    </row>
    <row r="552" customHeight="1" spans="1:4">
      <c r="A552" s="43">
        <v>549</v>
      </c>
      <c r="B552" s="54" t="s">
        <v>1868</v>
      </c>
      <c r="C552" s="62" t="s">
        <v>1869</v>
      </c>
      <c r="D552" s="63" t="s">
        <v>21</v>
      </c>
    </row>
    <row r="553" customHeight="1" spans="1:4">
      <c r="A553" s="43">
        <v>550</v>
      </c>
      <c r="B553" s="54" t="s">
        <v>1870</v>
      </c>
      <c r="C553" s="62" t="s">
        <v>1871</v>
      </c>
      <c r="D553" s="63" t="s">
        <v>21</v>
      </c>
    </row>
    <row r="554" customHeight="1" spans="1:4">
      <c r="A554" s="43">
        <v>551</v>
      </c>
      <c r="B554" s="54" t="s">
        <v>1872</v>
      </c>
      <c r="C554" s="62" t="s">
        <v>1873</v>
      </c>
      <c r="D554" s="63" t="s">
        <v>21</v>
      </c>
    </row>
    <row r="555" customHeight="1" spans="1:4">
      <c r="A555" s="43">
        <v>552</v>
      </c>
      <c r="B555" s="54" t="s">
        <v>1874</v>
      </c>
      <c r="C555" s="62" t="s">
        <v>1875</v>
      </c>
      <c r="D555" s="63" t="s">
        <v>21</v>
      </c>
    </row>
    <row r="556" customHeight="1" spans="1:4">
      <c r="A556" s="43">
        <v>553</v>
      </c>
      <c r="B556" s="54" t="s">
        <v>1876</v>
      </c>
      <c r="C556" s="62" t="s">
        <v>1877</v>
      </c>
      <c r="D556" s="63" t="s">
        <v>21</v>
      </c>
    </row>
    <row r="557" customHeight="1" spans="1:4">
      <c r="A557" s="43">
        <v>554</v>
      </c>
      <c r="B557" s="54" t="s">
        <v>1878</v>
      </c>
      <c r="C557" s="62" t="s">
        <v>1879</v>
      </c>
      <c r="D557" s="63" t="s">
        <v>21</v>
      </c>
    </row>
    <row r="558" customHeight="1" spans="1:4">
      <c r="A558" s="43">
        <v>555</v>
      </c>
      <c r="B558" s="54" t="s">
        <v>1880</v>
      </c>
      <c r="C558" s="62" t="s">
        <v>1881</v>
      </c>
      <c r="D558" s="63" t="s">
        <v>21</v>
      </c>
    </row>
    <row r="559" customHeight="1" spans="1:4">
      <c r="A559" s="43">
        <v>556</v>
      </c>
      <c r="B559" s="54" t="s">
        <v>1882</v>
      </c>
      <c r="C559" s="62" t="s">
        <v>1883</v>
      </c>
      <c r="D559" s="63" t="s">
        <v>21</v>
      </c>
    </row>
    <row r="560" customHeight="1" spans="1:4">
      <c r="A560" s="43">
        <v>557</v>
      </c>
      <c r="B560" s="54" t="s">
        <v>1884</v>
      </c>
      <c r="C560" s="62" t="s">
        <v>1885</v>
      </c>
      <c r="D560" s="63" t="s">
        <v>21</v>
      </c>
    </row>
    <row r="561" customHeight="1" spans="1:4">
      <c r="A561" s="43">
        <v>558</v>
      </c>
      <c r="B561" s="54" t="s">
        <v>1886</v>
      </c>
      <c r="C561" s="62" t="s">
        <v>1887</v>
      </c>
      <c r="D561" s="63" t="s">
        <v>21</v>
      </c>
    </row>
    <row r="562" customHeight="1" spans="1:4">
      <c r="A562" s="43">
        <v>559</v>
      </c>
      <c r="B562" s="54" t="s">
        <v>1888</v>
      </c>
      <c r="C562" s="62" t="s">
        <v>1889</v>
      </c>
      <c r="D562" s="63" t="s">
        <v>21</v>
      </c>
    </row>
    <row r="563" customHeight="1" spans="1:4">
      <c r="A563" s="43">
        <v>560</v>
      </c>
      <c r="B563" s="54" t="s">
        <v>1890</v>
      </c>
      <c r="C563" s="62" t="s">
        <v>1891</v>
      </c>
      <c r="D563" s="63" t="s">
        <v>21</v>
      </c>
    </row>
    <row r="564" customHeight="1" spans="1:4">
      <c r="A564" s="43">
        <v>561</v>
      </c>
      <c r="B564" s="54" t="s">
        <v>1892</v>
      </c>
      <c r="C564" s="62" t="s">
        <v>1893</v>
      </c>
      <c r="D564" s="63" t="s">
        <v>21</v>
      </c>
    </row>
    <row r="565" customHeight="1" spans="1:4">
      <c r="A565" s="43">
        <v>562</v>
      </c>
      <c r="B565" s="54" t="s">
        <v>1894</v>
      </c>
      <c r="C565" s="62" t="s">
        <v>1895</v>
      </c>
      <c r="D565" s="63" t="s">
        <v>21</v>
      </c>
    </row>
    <row r="566" customHeight="1" spans="1:4">
      <c r="A566" s="43">
        <v>563</v>
      </c>
      <c r="B566" s="54" t="s">
        <v>1896</v>
      </c>
      <c r="C566" s="62" t="s">
        <v>1897</v>
      </c>
      <c r="D566" s="63" t="s">
        <v>21</v>
      </c>
    </row>
    <row r="567" customHeight="1" spans="1:4">
      <c r="A567" s="43">
        <v>564</v>
      </c>
      <c r="B567" s="54" t="s">
        <v>1898</v>
      </c>
      <c r="C567" s="62" t="s">
        <v>1899</v>
      </c>
      <c r="D567" s="63" t="s">
        <v>1815</v>
      </c>
    </row>
    <row r="568" customHeight="1" spans="1:4">
      <c r="A568" s="43">
        <v>565</v>
      </c>
      <c r="B568" s="54" t="s">
        <v>1900</v>
      </c>
      <c r="C568" s="62" t="s">
        <v>1901</v>
      </c>
      <c r="D568" s="63" t="s">
        <v>1815</v>
      </c>
    </row>
    <row r="569" customHeight="1" spans="1:4">
      <c r="A569" s="43">
        <v>566</v>
      </c>
      <c r="B569" s="54" t="s">
        <v>1902</v>
      </c>
      <c r="C569" s="62" t="s">
        <v>1903</v>
      </c>
      <c r="D569" s="63" t="s">
        <v>21</v>
      </c>
    </row>
    <row r="570" customHeight="1" spans="1:4">
      <c r="A570" s="43">
        <v>567</v>
      </c>
      <c r="B570" s="54" t="s">
        <v>1904</v>
      </c>
      <c r="C570" s="62" t="s">
        <v>1905</v>
      </c>
      <c r="D570" s="63" t="s">
        <v>21</v>
      </c>
    </row>
    <row r="571" customHeight="1" spans="1:4">
      <c r="A571" s="43">
        <v>568</v>
      </c>
      <c r="B571" s="54" t="s">
        <v>1906</v>
      </c>
      <c r="C571" s="62" t="s">
        <v>1907</v>
      </c>
      <c r="D571" s="63" t="s">
        <v>21</v>
      </c>
    </row>
    <row r="572" customHeight="1" spans="1:4">
      <c r="A572" s="43">
        <v>569</v>
      </c>
      <c r="B572" s="54" t="s">
        <v>1908</v>
      </c>
      <c r="C572" s="62" t="s">
        <v>1909</v>
      </c>
      <c r="D572" s="63" t="s">
        <v>21</v>
      </c>
    </row>
    <row r="573" customHeight="1" spans="1:4">
      <c r="A573" s="43">
        <v>570</v>
      </c>
      <c r="B573" s="54" t="s">
        <v>1910</v>
      </c>
      <c r="C573" s="62" t="s">
        <v>1911</v>
      </c>
      <c r="D573" s="63" t="s">
        <v>1912</v>
      </c>
    </row>
    <row r="574" customHeight="1" spans="1:4">
      <c r="A574" s="43">
        <v>571</v>
      </c>
      <c r="B574" s="54" t="s">
        <v>1913</v>
      </c>
      <c r="C574" s="62" t="s">
        <v>1914</v>
      </c>
      <c r="D574" s="63" t="s">
        <v>21</v>
      </c>
    </row>
    <row r="575" customHeight="1" spans="1:4">
      <c r="A575" s="43">
        <v>572</v>
      </c>
      <c r="B575" s="54" t="s">
        <v>1915</v>
      </c>
      <c r="C575" s="62" t="s">
        <v>1916</v>
      </c>
      <c r="D575" s="63" t="s">
        <v>21</v>
      </c>
    </row>
    <row r="576" customHeight="1" spans="1:4">
      <c r="A576" s="43">
        <v>573</v>
      </c>
      <c r="B576" s="54" t="s">
        <v>1917</v>
      </c>
      <c r="C576" s="62" t="s">
        <v>1918</v>
      </c>
      <c r="D576" s="63" t="s">
        <v>21</v>
      </c>
    </row>
    <row r="577" customHeight="1" spans="1:4">
      <c r="A577" s="43">
        <v>574</v>
      </c>
      <c r="B577" s="54" t="s">
        <v>1919</v>
      </c>
      <c r="C577" s="62" t="s">
        <v>1920</v>
      </c>
      <c r="D577" s="63" t="s">
        <v>21</v>
      </c>
    </row>
    <row r="578" customHeight="1" spans="1:4">
      <c r="A578" s="43">
        <v>575</v>
      </c>
      <c r="B578" s="54" t="s">
        <v>1921</v>
      </c>
      <c r="C578" s="62" t="s">
        <v>1922</v>
      </c>
      <c r="D578" s="63" t="s">
        <v>21</v>
      </c>
    </row>
    <row r="579" customHeight="1" spans="1:4">
      <c r="A579" s="43">
        <v>576</v>
      </c>
      <c r="B579" s="54" t="s">
        <v>1923</v>
      </c>
      <c r="C579" s="62" t="s">
        <v>1924</v>
      </c>
      <c r="D579" s="63" t="s">
        <v>21</v>
      </c>
    </row>
    <row r="580" customHeight="1" spans="1:4">
      <c r="A580" s="43">
        <v>577</v>
      </c>
      <c r="B580" s="54" t="s">
        <v>1925</v>
      </c>
      <c r="C580" s="62" t="s">
        <v>1926</v>
      </c>
      <c r="D580" s="63" t="s">
        <v>21</v>
      </c>
    </row>
    <row r="581" customHeight="1" spans="1:4">
      <c r="A581" s="43">
        <v>578</v>
      </c>
      <c r="B581" s="54" t="s">
        <v>1927</v>
      </c>
      <c r="C581" s="62" t="s">
        <v>1928</v>
      </c>
      <c r="D581" s="63" t="s">
        <v>21</v>
      </c>
    </row>
    <row r="582" customHeight="1" spans="1:4">
      <c r="A582" s="43">
        <v>579</v>
      </c>
      <c r="B582" s="54" t="s">
        <v>1929</v>
      </c>
      <c r="C582" s="62" t="s">
        <v>1930</v>
      </c>
      <c r="D582" s="63" t="s">
        <v>1931</v>
      </c>
    </row>
    <row r="583" customHeight="1" spans="1:4">
      <c r="A583" s="43">
        <v>580</v>
      </c>
      <c r="B583" s="54" t="s">
        <v>1932</v>
      </c>
      <c r="C583" s="62" t="s">
        <v>1933</v>
      </c>
      <c r="D583" s="63" t="s">
        <v>21</v>
      </c>
    </row>
    <row r="584" customHeight="1" spans="1:4">
      <c r="A584" s="43">
        <v>581</v>
      </c>
      <c r="B584" s="50" t="s">
        <v>1934</v>
      </c>
      <c r="C584" s="49" t="s">
        <v>1935</v>
      </c>
      <c r="D584" s="50" t="s">
        <v>21</v>
      </c>
    </row>
    <row r="585" customHeight="1" spans="1:4">
      <c r="A585" s="43">
        <v>582</v>
      </c>
      <c r="B585" s="50" t="s">
        <v>1936</v>
      </c>
      <c r="C585" s="49" t="s">
        <v>1937</v>
      </c>
      <c r="D585" s="50" t="s">
        <v>21</v>
      </c>
    </row>
    <row r="586" customHeight="1" spans="1:4">
      <c r="A586" s="43">
        <v>583</v>
      </c>
      <c r="B586" s="50" t="s">
        <v>1938</v>
      </c>
      <c r="C586" s="49" t="s">
        <v>1939</v>
      </c>
      <c r="D586" s="50" t="s">
        <v>21</v>
      </c>
    </row>
    <row r="587" customHeight="1" spans="1:4">
      <c r="A587" s="43">
        <v>584</v>
      </c>
      <c r="B587" s="50" t="s">
        <v>1940</v>
      </c>
      <c r="C587" s="49" t="s">
        <v>1941</v>
      </c>
      <c r="D587" s="50" t="s">
        <v>21</v>
      </c>
    </row>
    <row r="588" customHeight="1" spans="1:4">
      <c r="A588" s="43">
        <v>585</v>
      </c>
      <c r="B588" s="50" t="s">
        <v>1942</v>
      </c>
      <c r="C588" s="49" t="s">
        <v>1943</v>
      </c>
      <c r="D588" s="50" t="s">
        <v>21</v>
      </c>
    </row>
    <row r="589" customHeight="1" spans="1:4">
      <c r="A589" s="43">
        <v>586</v>
      </c>
      <c r="B589" s="50" t="s">
        <v>1944</v>
      </c>
      <c r="C589" s="49" t="s">
        <v>1945</v>
      </c>
      <c r="D589" s="50" t="s">
        <v>21</v>
      </c>
    </row>
    <row r="590" customHeight="1" spans="1:4">
      <c r="A590" s="43">
        <v>587</v>
      </c>
      <c r="B590" s="50" t="s">
        <v>1946</v>
      </c>
      <c r="C590" s="49" t="s">
        <v>1947</v>
      </c>
      <c r="D590" s="50" t="s">
        <v>21</v>
      </c>
    </row>
    <row r="591" customHeight="1" spans="1:4">
      <c r="A591" s="43">
        <v>588</v>
      </c>
      <c r="B591" s="50" t="s">
        <v>1948</v>
      </c>
      <c r="C591" s="49" t="s">
        <v>1949</v>
      </c>
      <c r="D591" s="50" t="s">
        <v>21</v>
      </c>
    </row>
    <row r="592" customHeight="1" spans="1:4">
      <c r="A592" s="43">
        <v>589</v>
      </c>
      <c r="B592" s="50" t="s">
        <v>1950</v>
      </c>
      <c r="C592" s="49" t="s">
        <v>1951</v>
      </c>
      <c r="D592" s="50" t="s">
        <v>21</v>
      </c>
    </row>
    <row r="593" customHeight="1" spans="1:4">
      <c r="A593" s="43">
        <v>590</v>
      </c>
      <c r="B593" s="50" t="s">
        <v>1952</v>
      </c>
      <c r="C593" s="49" t="s">
        <v>1953</v>
      </c>
      <c r="D593" s="50" t="s">
        <v>21</v>
      </c>
    </row>
    <row r="594" customHeight="1" spans="1:4">
      <c r="A594" s="43">
        <v>591</v>
      </c>
      <c r="B594" s="50" t="s">
        <v>1954</v>
      </c>
      <c r="C594" s="49" t="s">
        <v>1955</v>
      </c>
      <c r="D594" s="50" t="s">
        <v>21</v>
      </c>
    </row>
    <row r="595" customHeight="1" spans="1:4">
      <c r="A595" s="43">
        <v>592</v>
      </c>
      <c r="B595" s="50" t="s">
        <v>1956</v>
      </c>
      <c r="C595" s="49" t="s">
        <v>1957</v>
      </c>
      <c r="D595" s="50" t="s">
        <v>21</v>
      </c>
    </row>
    <row r="596" customHeight="1" spans="1:4">
      <c r="A596" s="43">
        <v>593</v>
      </c>
      <c r="B596" s="50" t="s">
        <v>1958</v>
      </c>
      <c r="C596" s="49" t="s">
        <v>1959</v>
      </c>
      <c r="D596" s="50" t="s">
        <v>21</v>
      </c>
    </row>
    <row r="597" customHeight="1" spans="1:4">
      <c r="A597" s="43">
        <v>594</v>
      </c>
      <c r="B597" s="50" t="s">
        <v>1960</v>
      </c>
      <c r="C597" s="49" t="s">
        <v>1961</v>
      </c>
      <c r="D597" s="50" t="s">
        <v>21</v>
      </c>
    </row>
    <row r="598" customHeight="1" spans="1:4">
      <c r="A598" s="43">
        <v>595</v>
      </c>
      <c r="B598" s="50" t="s">
        <v>1962</v>
      </c>
      <c r="C598" s="49" t="s">
        <v>1963</v>
      </c>
      <c r="D598" s="50" t="s">
        <v>21</v>
      </c>
    </row>
    <row r="599" customHeight="1" spans="1:4">
      <c r="A599" s="43">
        <v>596</v>
      </c>
      <c r="B599" s="50" t="s">
        <v>1964</v>
      </c>
      <c r="C599" s="49" t="s">
        <v>1965</v>
      </c>
      <c r="D599" s="50" t="s">
        <v>21</v>
      </c>
    </row>
    <row r="600" customHeight="1" spans="1:4">
      <c r="A600" s="43">
        <v>597</v>
      </c>
      <c r="B600" s="50" t="s">
        <v>1966</v>
      </c>
      <c r="C600" s="49" t="s">
        <v>1967</v>
      </c>
      <c r="D600" s="50" t="s">
        <v>21</v>
      </c>
    </row>
    <row r="601" customHeight="1" spans="1:4">
      <c r="A601" s="43">
        <v>598</v>
      </c>
      <c r="B601" s="50" t="s">
        <v>1968</v>
      </c>
      <c r="C601" s="49" t="s">
        <v>1969</v>
      </c>
      <c r="D601" s="50" t="s">
        <v>21</v>
      </c>
    </row>
    <row r="602" customHeight="1" spans="1:4">
      <c r="A602" s="43">
        <v>599</v>
      </c>
      <c r="B602" s="50" t="s">
        <v>1970</v>
      </c>
      <c r="C602" s="49" t="s">
        <v>1971</v>
      </c>
      <c r="D602" s="50" t="s">
        <v>1972</v>
      </c>
    </row>
    <row r="603" customHeight="1" spans="1:4">
      <c r="A603" s="43">
        <v>600</v>
      </c>
      <c r="B603" s="50" t="s">
        <v>1973</v>
      </c>
      <c r="C603" s="49" t="s">
        <v>1974</v>
      </c>
      <c r="D603" s="50"/>
    </row>
    <row r="604" customHeight="1" spans="1:4">
      <c r="A604" s="43">
        <v>601</v>
      </c>
      <c r="B604" s="50" t="s">
        <v>1975</v>
      </c>
      <c r="C604" s="49" t="s">
        <v>1976</v>
      </c>
      <c r="D604" s="50" t="s">
        <v>21</v>
      </c>
    </row>
    <row r="605" customHeight="1" spans="1:4">
      <c r="A605" s="43">
        <v>602</v>
      </c>
      <c r="B605" s="50" t="s">
        <v>1977</v>
      </c>
      <c r="C605" s="49" t="s">
        <v>1978</v>
      </c>
      <c r="D605" s="50" t="s">
        <v>1979</v>
      </c>
    </row>
    <row r="606" customHeight="1" spans="1:4">
      <c r="A606" s="43">
        <v>603</v>
      </c>
      <c r="B606" s="50" t="s">
        <v>1980</v>
      </c>
      <c r="C606" s="49" t="s">
        <v>1981</v>
      </c>
      <c r="D606" s="50" t="s">
        <v>1979</v>
      </c>
    </row>
    <row r="607" customHeight="1" spans="1:4">
      <c r="A607" s="43">
        <v>604</v>
      </c>
      <c r="B607" s="50" t="s">
        <v>1982</v>
      </c>
      <c r="C607" s="49" t="s">
        <v>1983</v>
      </c>
      <c r="D607" s="50" t="s">
        <v>1979</v>
      </c>
    </row>
    <row r="608" customHeight="1" spans="1:4">
      <c r="A608" s="43">
        <v>605</v>
      </c>
      <c r="B608" s="50" t="s">
        <v>1984</v>
      </c>
      <c r="C608" s="49" t="s">
        <v>1985</v>
      </c>
      <c r="D608" s="50" t="s">
        <v>1986</v>
      </c>
    </row>
    <row r="609" customHeight="1" spans="1:4">
      <c r="A609" s="43">
        <v>606</v>
      </c>
      <c r="B609" s="50" t="s">
        <v>1987</v>
      </c>
      <c r="C609" s="49" t="s">
        <v>1988</v>
      </c>
      <c r="D609" s="50" t="s">
        <v>21</v>
      </c>
    </row>
    <row r="610" customHeight="1" spans="1:4">
      <c r="A610" s="43">
        <v>607</v>
      </c>
      <c r="B610" s="50" t="s">
        <v>1989</v>
      </c>
      <c r="C610" s="49" t="s">
        <v>1990</v>
      </c>
      <c r="D610" s="50" t="s">
        <v>21</v>
      </c>
    </row>
    <row r="611" customHeight="1" spans="1:4">
      <c r="A611" s="43">
        <v>608</v>
      </c>
      <c r="B611" s="50" t="s">
        <v>1991</v>
      </c>
      <c r="C611" s="49" t="s">
        <v>1992</v>
      </c>
      <c r="D611" s="50" t="s">
        <v>21</v>
      </c>
    </row>
    <row r="612" customHeight="1" spans="1:4">
      <c r="A612" s="43">
        <v>609</v>
      </c>
      <c r="B612" s="50" t="s">
        <v>1993</v>
      </c>
      <c r="C612" s="49" t="s">
        <v>1994</v>
      </c>
      <c r="D612" s="50" t="s">
        <v>21</v>
      </c>
    </row>
    <row r="613" customHeight="1" spans="1:4">
      <c r="A613" s="43">
        <v>610</v>
      </c>
      <c r="B613" s="50" t="s">
        <v>1995</v>
      </c>
      <c r="C613" s="49" t="s">
        <v>1996</v>
      </c>
      <c r="D613" s="50" t="s">
        <v>21</v>
      </c>
    </row>
    <row r="614" customHeight="1" spans="1:4">
      <c r="A614" s="43">
        <v>611</v>
      </c>
      <c r="B614" s="50" t="s">
        <v>1997</v>
      </c>
      <c r="C614" s="49" t="s">
        <v>1998</v>
      </c>
      <c r="D614" s="50" t="s">
        <v>21</v>
      </c>
    </row>
    <row r="615" customHeight="1" spans="1:4">
      <c r="A615" s="43">
        <v>612</v>
      </c>
      <c r="B615" s="50" t="s">
        <v>1999</v>
      </c>
      <c r="C615" s="49" t="s">
        <v>2000</v>
      </c>
      <c r="D615" s="50" t="s">
        <v>1972</v>
      </c>
    </row>
    <row r="616" customHeight="1" spans="1:4">
      <c r="A616" s="43">
        <v>613</v>
      </c>
      <c r="B616" s="50" t="s">
        <v>2001</v>
      </c>
      <c r="C616" s="49" t="s">
        <v>2002</v>
      </c>
      <c r="D616" s="50" t="s">
        <v>1972</v>
      </c>
    </row>
    <row r="617" customHeight="1" spans="1:4">
      <c r="A617" s="43">
        <v>614</v>
      </c>
      <c r="B617" s="50" t="s">
        <v>2003</v>
      </c>
      <c r="C617" s="49" t="s">
        <v>2004</v>
      </c>
      <c r="D617" s="50" t="s">
        <v>1972</v>
      </c>
    </row>
    <row r="618" customHeight="1" spans="1:4">
      <c r="A618" s="43">
        <v>615</v>
      </c>
      <c r="B618" s="50" t="s">
        <v>2005</v>
      </c>
      <c r="C618" s="49" t="s">
        <v>2006</v>
      </c>
      <c r="D618" s="50" t="s">
        <v>21</v>
      </c>
    </row>
    <row r="619" customHeight="1" spans="1:4">
      <c r="A619" s="43">
        <v>616</v>
      </c>
      <c r="B619" s="50" t="s">
        <v>2007</v>
      </c>
      <c r="C619" s="49" t="s">
        <v>2008</v>
      </c>
      <c r="D619" s="50" t="s">
        <v>21</v>
      </c>
    </row>
    <row r="620" customHeight="1" spans="1:4">
      <c r="A620" s="43">
        <v>617</v>
      </c>
      <c r="B620" s="50" t="s">
        <v>2009</v>
      </c>
      <c r="C620" s="49" t="s">
        <v>2010</v>
      </c>
      <c r="D620" s="50" t="s">
        <v>2011</v>
      </c>
    </row>
    <row r="621" customHeight="1" spans="1:4">
      <c r="A621" s="43">
        <v>618</v>
      </c>
      <c r="B621" s="50" t="s">
        <v>2012</v>
      </c>
      <c r="C621" s="49" t="s">
        <v>2013</v>
      </c>
      <c r="D621" s="50" t="s">
        <v>2011</v>
      </c>
    </row>
    <row r="622" customHeight="1" spans="1:4">
      <c r="A622" s="43">
        <v>619</v>
      </c>
      <c r="B622" s="50" t="s">
        <v>2014</v>
      </c>
      <c r="C622" s="49" t="s">
        <v>2015</v>
      </c>
      <c r="D622" s="50" t="s">
        <v>21</v>
      </c>
    </row>
    <row r="623" customHeight="1" spans="1:4">
      <c r="A623" s="43">
        <v>620</v>
      </c>
      <c r="B623" s="50" t="s">
        <v>2016</v>
      </c>
      <c r="C623" s="49" t="s">
        <v>2017</v>
      </c>
      <c r="D623" s="50" t="s">
        <v>21</v>
      </c>
    </row>
    <row r="624" customHeight="1" spans="1:4">
      <c r="A624" s="43">
        <v>621</v>
      </c>
      <c r="B624" s="50" t="s">
        <v>2018</v>
      </c>
      <c r="C624" s="49" t="s">
        <v>2019</v>
      </c>
      <c r="D624" s="50" t="s">
        <v>21</v>
      </c>
    </row>
    <row r="625" customHeight="1" spans="1:4">
      <c r="A625" s="43">
        <v>622</v>
      </c>
      <c r="B625" s="50" t="s">
        <v>2020</v>
      </c>
      <c r="C625" s="49" t="s">
        <v>2021</v>
      </c>
      <c r="D625" s="50" t="s">
        <v>21</v>
      </c>
    </row>
    <row r="626" customHeight="1" spans="1:4">
      <c r="A626" s="43">
        <v>623</v>
      </c>
      <c r="B626" s="50" t="s">
        <v>2022</v>
      </c>
      <c r="C626" s="49" t="s">
        <v>2023</v>
      </c>
      <c r="D626" s="50" t="s">
        <v>21</v>
      </c>
    </row>
    <row r="627" customHeight="1" spans="1:4">
      <c r="A627" s="43">
        <v>624</v>
      </c>
      <c r="B627" s="50" t="s">
        <v>2024</v>
      </c>
      <c r="C627" s="49" t="s">
        <v>2025</v>
      </c>
      <c r="D627" s="50" t="s">
        <v>21</v>
      </c>
    </row>
    <row r="628" customHeight="1" spans="1:4">
      <c r="A628" s="43">
        <v>625</v>
      </c>
      <c r="B628" s="50" t="s">
        <v>2026</v>
      </c>
      <c r="C628" s="49" t="s">
        <v>2027</v>
      </c>
      <c r="D628" s="50" t="s">
        <v>21</v>
      </c>
    </row>
    <row r="629" customHeight="1" spans="1:4">
      <c r="A629" s="43">
        <v>626</v>
      </c>
      <c r="B629" s="50" t="s">
        <v>2028</v>
      </c>
      <c r="C629" s="49" t="s">
        <v>2029</v>
      </c>
      <c r="D629" s="50" t="s">
        <v>21</v>
      </c>
    </row>
    <row r="630" customHeight="1" spans="1:4">
      <c r="A630" s="43">
        <v>627</v>
      </c>
      <c r="B630" s="50" t="s">
        <v>2030</v>
      </c>
      <c r="C630" s="49" t="s">
        <v>2031</v>
      </c>
      <c r="D630" s="50" t="s">
        <v>21</v>
      </c>
    </row>
    <row r="631" customHeight="1" spans="1:4">
      <c r="A631" s="43">
        <v>628</v>
      </c>
      <c r="B631" s="50" t="s">
        <v>2032</v>
      </c>
      <c r="C631" s="49" t="s">
        <v>2033</v>
      </c>
      <c r="D631" s="50" t="s">
        <v>21</v>
      </c>
    </row>
    <row r="632" customHeight="1" spans="1:4">
      <c r="A632" s="43">
        <v>629</v>
      </c>
      <c r="B632" s="50" t="s">
        <v>2034</v>
      </c>
      <c r="C632" s="49" t="s">
        <v>2035</v>
      </c>
      <c r="D632" s="50" t="s">
        <v>21</v>
      </c>
    </row>
    <row r="633" customHeight="1" spans="1:4">
      <c r="A633" s="43">
        <v>630</v>
      </c>
      <c r="B633" s="50" t="s">
        <v>2036</v>
      </c>
      <c r="C633" s="49" t="s">
        <v>2037</v>
      </c>
      <c r="D633" s="50" t="s">
        <v>21</v>
      </c>
    </row>
    <row r="634" customHeight="1" spans="1:4">
      <c r="A634" s="43">
        <v>631</v>
      </c>
      <c r="B634" s="50" t="s">
        <v>2038</v>
      </c>
      <c r="C634" s="49" t="s">
        <v>2039</v>
      </c>
      <c r="D634" s="50" t="s">
        <v>21</v>
      </c>
    </row>
    <row r="635" customHeight="1" spans="1:4">
      <c r="A635" s="43">
        <v>632</v>
      </c>
      <c r="B635" s="50" t="s">
        <v>2040</v>
      </c>
      <c r="C635" s="49" t="s">
        <v>2041</v>
      </c>
      <c r="D635" s="50" t="s">
        <v>21</v>
      </c>
    </row>
    <row r="636" customHeight="1" spans="1:4">
      <c r="A636" s="43">
        <v>633</v>
      </c>
      <c r="B636" s="50" t="s">
        <v>2042</v>
      </c>
      <c r="C636" s="49" t="s">
        <v>2043</v>
      </c>
      <c r="D636" s="50" t="s">
        <v>21</v>
      </c>
    </row>
    <row r="637" customHeight="1" spans="1:4">
      <c r="A637" s="43">
        <v>634</v>
      </c>
      <c r="B637" s="50" t="s">
        <v>2044</v>
      </c>
      <c r="C637" s="49" t="s">
        <v>2045</v>
      </c>
      <c r="D637" s="50" t="s">
        <v>21</v>
      </c>
    </row>
    <row r="638" customHeight="1" spans="1:4">
      <c r="A638" s="43">
        <v>635</v>
      </c>
      <c r="B638" s="50" t="s">
        <v>2046</v>
      </c>
      <c r="C638" s="49" t="s">
        <v>2047</v>
      </c>
      <c r="D638" s="50" t="s">
        <v>21</v>
      </c>
    </row>
    <row r="639" customHeight="1" spans="1:4">
      <c r="A639" s="43">
        <v>636</v>
      </c>
      <c r="B639" s="50" t="s">
        <v>2048</v>
      </c>
      <c r="C639" s="49" t="s">
        <v>2049</v>
      </c>
      <c r="D639" s="50" t="s">
        <v>21</v>
      </c>
    </row>
    <row r="640" customHeight="1" spans="1:4">
      <c r="A640" s="43">
        <v>637</v>
      </c>
      <c r="B640" s="50" t="s">
        <v>2050</v>
      </c>
      <c r="C640" s="49" t="s">
        <v>2051</v>
      </c>
      <c r="D640" s="50" t="s">
        <v>21</v>
      </c>
    </row>
    <row r="641" customHeight="1" spans="1:4">
      <c r="A641" s="43">
        <v>638</v>
      </c>
      <c r="B641" s="50" t="s">
        <v>2052</v>
      </c>
      <c r="C641" s="49" t="s">
        <v>2053</v>
      </c>
      <c r="D641" s="50" t="s">
        <v>21</v>
      </c>
    </row>
    <row r="642" customHeight="1" spans="1:4">
      <c r="A642" s="43">
        <v>639</v>
      </c>
      <c r="B642" s="50" t="s">
        <v>2054</v>
      </c>
      <c r="C642" s="49" t="s">
        <v>2055</v>
      </c>
      <c r="D642" s="50" t="s">
        <v>21</v>
      </c>
    </row>
    <row r="643" customHeight="1" spans="1:4">
      <c r="A643" s="43">
        <v>640</v>
      </c>
      <c r="B643" s="50" t="s">
        <v>2056</v>
      </c>
      <c r="C643" s="49" t="s">
        <v>2057</v>
      </c>
      <c r="D643" s="50" t="s">
        <v>21</v>
      </c>
    </row>
    <row r="644" customHeight="1" spans="1:4">
      <c r="A644" s="43">
        <v>641</v>
      </c>
      <c r="B644" s="50" t="s">
        <v>2058</v>
      </c>
      <c r="C644" s="49" t="s">
        <v>2059</v>
      </c>
      <c r="D644" s="50" t="s">
        <v>21</v>
      </c>
    </row>
    <row r="645" customHeight="1" spans="1:4">
      <c r="A645" s="43">
        <v>642</v>
      </c>
      <c r="B645" s="50" t="s">
        <v>2060</v>
      </c>
      <c r="C645" s="49" t="s">
        <v>2061</v>
      </c>
      <c r="D645" s="50" t="s">
        <v>21</v>
      </c>
    </row>
    <row r="646" customHeight="1" spans="1:4">
      <c r="A646" s="43">
        <v>643</v>
      </c>
      <c r="B646" s="50" t="s">
        <v>2062</v>
      </c>
      <c r="C646" s="49" t="s">
        <v>2063</v>
      </c>
      <c r="D646" s="50" t="s">
        <v>21</v>
      </c>
    </row>
    <row r="647" customHeight="1" spans="1:4">
      <c r="A647" s="43">
        <v>644</v>
      </c>
      <c r="B647" s="50" t="s">
        <v>2064</v>
      </c>
      <c r="C647" s="49" t="s">
        <v>2065</v>
      </c>
      <c r="D647" s="50" t="s">
        <v>21</v>
      </c>
    </row>
    <row r="648" customHeight="1" spans="1:4">
      <c r="A648" s="43">
        <v>645</v>
      </c>
      <c r="B648" s="50" t="s">
        <v>2066</v>
      </c>
      <c r="C648" s="49" t="s">
        <v>2067</v>
      </c>
      <c r="D648" s="50" t="s">
        <v>21</v>
      </c>
    </row>
    <row r="649" customHeight="1" spans="1:4">
      <c r="A649" s="43">
        <v>646</v>
      </c>
      <c r="B649" s="50" t="s">
        <v>2068</v>
      </c>
      <c r="C649" s="49" t="s">
        <v>2069</v>
      </c>
      <c r="D649" s="50" t="s">
        <v>21</v>
      </c>
    </row>
    <row r="650" customHeight="1" spans="1:4">
      <c r="A650" s="43">
        <v>647</v>
      </c>
      <c r="B650" s="50" t="s">
        <v>2070</v>
      </c>
      <c r="C650" s="44" t="s">
        <v>2071</v>
      </c>
      <c r="D650" s="50" t="s">
        <v>2072</v>
      </c>
    </row>
    <row r="651" customHeight="1" spans="1:4">
      <c r="A651" s="43">
        <v>648</v>
      </c>
      <c r="B651" s="50" t="s">
        <v>2073</v>
      </c>
      <c r="C651" s="44" t="s">
        <v>2074</v>
      </c>
      <c r="D651" s="50" t="s">
        <v>2072</v>
      </c>
    </row>
    <row r="652" customHeight="1" spans="1:4">
      <c r="A652" s="43">
        <v>649</v>
      </c>
      <c r="B652" s="50" t="s">
        <v>2075</v>
      </c>
      <c r="C652" s="44" t="s">
        <v>2076</v>
      </c>
      <c r="D652" s="43" t="s">
        <v>21</v>
      </c>
    </row>
    <row r="653" customHeight="1" spans="1:4">
      <c r="A653" s="43">
        <v>650</v>
      </c>
      <c r="B653" s="50" t="s">
        <v>2077</v>
      </c>
      <c r="C653" s="44" t="s">
        <v>2078</v>
      </c>
      <c r="D653" s="43" t="s">
        <v>21</v>
      </c>
    </row>
    <row r="654" customHeight="1" spans="1:4">
      <c r="A654" s="43">
        <v>651</v>
      </c>
      <c r="B654" s="50" t="s">
        <v>2079</v>
      </c>
      <c r="C654" s="49" t="s">
        <v>2080</v>
      </c>
      <c r="D654" s="50" t="s">
        <v>21</v>
      </c>
    </row>
    <row r="655" customHeight="1" spans="1:4">
      <c r="A655" s="43">
        <v>652</v>
      </c>
      <c r="B655" s="50" t="s">
        <v>2081</v>
      </c>
      <c r="C655" s="49" t="s">
        <v>2082</v>
      </c>
      <c r="D655" s="50" t="s">
        <v>21</v>
      </c>
    </row>
    <row r="656" customHeight="1" spans="1:4">
      <c r="A656" s="43">
        <v>653</v>
      </c>
      <c r="B656" s="50" t="s">
        <v>2083</v>
      </c>
      <c r="C656" s="49" t="s">
        <v>2084</v>
      </c>
      <c r="D656" s="50" t="s">
        <v>21</v>
      </c>
    </row>
    <row r="657" customHeight="1" spans="1:4">
      <c r="A657" s="43">
        <v>654</v>
      </c>
      <c r="B657" s="50" t="s">
        <v>2085</v>
      </c>
      <c r="C657" s="49" t="s">
        <v>2086</v>
      </c>
      <c r="D657" s="50" t="s">
        <v>21</v>
      </c>
    </row>
    <row r="658" customHeight="1" spans="1:4">
      <c r="A658" s="43">
        <v>655</v>
      </c>
      <c r="B658" s="50" t="s">
        <v>2087</v>
      </c>
      <c r="C658" s="49" t="s">
        <v>2088</v>
      </c>
      <c r="D658" s="50" t="s">
        <v>21</v>
      </c>
    </row>
    <row r="659" customHeight="1" spans="1:4">
      <c r="A659" s="43">
        <v>656</v>
      </c>
      <c r="B659" s="50" t="s">
        <v>2089</v>
      </c>
      <c r="C659" s="49" t="s">
        <v>2090</v>
      </c>
      <c r="D659" s="50" t="s">
        <v>21</v>
      </c>
    </row>
    <row r="660" customHeight="1" spans="1:4">
      <c r="A660" s="43">
        <v>657</v>
      </c>
      <c r="B660" s="50" t="s">
        <v>2091</v>
      </c>
      <c r="C660" s="49" t="s">
        <v>2092</v>
      </c>
      <c r="D660" s="50" t="s">
        <v>21</v>
      </c>
    </row>
    <row r="661" customHeight="1" spans="1:4">
      <c r="A661" s="43">
        <v>658</v>
      </c>
      <c r="B661" s="50" t="s">
        <v>2093</v>
      </c>
      <c r="C661" s="49" t="s">
        <v>2094</v>
      </c>
      <c r="D661" s="50" t="s">
        <v>21</v>
      </c>
    </row>
    <row r="662" customHeight="1" spans="1:4">
      <c r="A662" s="43">
        <v>659</v>
      </c>
      <c r="B662" s="50" t="s">
        <v>2095</v>
      </c>
      <c r="C662" s="49" t="s">
        <v>2096</v>
      </c>
      <c r="D662" s="50" t="s">
        <v>21</v>
      </c>
    </row>
    <row r="663" customHeight="1" spans="1:4">
      <c r="A663" s="43">
        <v>660</v>
      </c>
      <c r="B663" s="50" t="s">
        <v>2097</v>
      </c>
      <c r="C663" s="49" t="s">
        <v>2098</v>
      </c>
      <c r="D663" s="50" t="s">
        <v>21</v>
      </c>
    </row>
    <row r="664" customHeight="1" spans="1:4">
      <c r="A664" s="43">
        <v>661</v>
      </c>
      <c r="B664" s="50" t="s">
        <v>2099</v>
      </c>
      <c r="C664" s="49" t="s">
        <v>2100</v>
      </c>
      <c r="D664" s="50" t="s">
        <v>21</v>
      </c>
    </row>
    <row r="665" customHeight="1" spans="1:4">
      <c r="A665" s="43">
        <v>662</v>
      </c>
      <c r="B665" s="50" t="s">
        <v>2101</v>
      </c>
      <c r="C665" s="49" t="s">
        <v>2102</v>
      </c>
      <c r="D665" s="50" t="s">
        <v>2103</v>
      </c>
    </row>
    <row r="666" customHeight="1" spans="1:4">
      <c r="A666" s="43">
        <v>663</v>
      </c>
      <c r="B666" s="50" t="s">
        <v>2104</v>
      </c>
      <c r="C666" s="49" t="s">
        <v>2105</v>
      </c>
      <c r="D666" s="50" t="s">
        <v>1972</v>
      </c>
    </row>
    <row r="667" customHeight="1" spans="1:4">
      <c r="A667" s="43">
        <v>664</v>
      </c>
      <c r="B667" s="50" t="s">
        <v>2106</v>
      </c>
      <c r="C667" s="49" t="s">
        <v>2107</v>
      </c>
      <c r="D667" s="50" t="s">
        <v>1972</v>
      </c>
    </row>
    <row r="668" customHeight="1" spans="1:4">
      <c r="A668" s="43">
        <v>665</v>
      </c>
      <c r="B668" s="50" t="s">
        <v>2108</v>
      </c>
      <c r="C668" s="49" t="s">
        <v>2109</v>
      </c>
      <c r="D668" s="50" t="s">
        <v>21</v>
      </c>
    </row>
    <row r="669" customHeight="1" spans="1:4">
      <c r="A669" s="43">
        <v>666</v>
      </c>
      <c r="B669" s="50" t="s">
        <v>2110</v>
      </c>
      <c r="C669" s="49" t="s">
        <v>2111</v>
      </c>
      <c r="D669" s="50" t="s">
        <v>21</v>
      </c>
    </row>
    <row r="670" customHeight="1" spans="1:4">
      <c r="A670" s="43">
        <v>667</v>
      </c>
      <c r="B670" s="50" t="s">
        <v>2112</v>
      </c>
      <c r="C670" s="49" t="s">
        <v>2113</v>
      </c>
      <c r="D670" s="50" t="s">
        <v>21</v>
      </c>
    </row>
    <row r="671" customHeight="1" spans="1:4">
      <c r="A671" s="43">
        <v>668</v>
      </c>
      <c r="B671" s="50" t="s">
        <v>2114</v>
      </c>
      <c r="C671" s="49" t="s">
        <v>2115</v>
      </c>
      <c r="D671" s="50" t="s">
        <v>21</v>
      </c>
    </row>
    <row r="672" customHeight="1" spans="1:4">
      <c r="A672" s="43">
        <v>669</v>
      </c>
      <c r="B672" s="50" t="s">
        <v>2116</v>
      </c>
      <c r="C672" s="49" t="s">
        <v>2117</v>
      </c>
      <c r="D672" s="50" t="s">
        <v>21</v>
      </c>
    </row>
    <row r="673" customHeight="1" spans="1:4">
      <c r="A673" s="43">
        <v>670</v>
      </c>
      <c r="B673" s="50" t="s">
        <v>2118</v>
      </c>
      <c r="C673" s="49" t="s">
        <v>2119</v>
      </c>
      <c r="D673" s="50" t="s">
        <v>2120</v>
      </c>
    </row>
    <row r="674" customHeight="1" spans="1:4">
      <c r="A674" s="43">
        <v>671</v>
      </c>
      <c r="B674" s="50" t="s">
        <v>2121</v>
      </c>
      <c r="C674" s="49" t="s">
        <v>2122</v>
      </c>
      <c r="D674" s="50" t="s">
        <v>2120</v>
      </c>
    </row>
    <row r="675" customHeight="1" spans="1:4">
      <c r="A675" s="43">
        <v>672</v>
      </c>
      <c r="B675" s="50" t="s">
        <v>2123</v>
      </c>
      <c r="C675" s="49" t="s">
        <v>2124</v>
      </c>
      <c r="D675" s="50" t="s">
        <v>21</v>
      </c>
    </row>
    <row r="676" customHeight="1" spans="1:4">
      <c r="A676" s="43">
        <v>673</v>
      </c>
      <c r="B676" s="50" t="s">
        <v>2125</v>
      </c>
      <c r="C676" s="49" t="s">
        <v>2126</v>
      </c>
      <c r="D676" s="50" t="s">
        <v>2120</v>
      </c>
    </row>
    <row r="677" customHeight="1" spans="1:4">
      <c r="A677" s="43">
        <v>674</v>
      </c>
      <c r="B677" s="50" t="s">
        <v>2127</v>
      </c>
      <c r="C677" s="49" t="s">
        <v>2128</v>
      </c>
      <c r="D677" s="50" t="s">
        <v>2129</v>
      </c>
    </row>
    <row r="678" customHeight="1" spans="1:4">
      <c r="A678" s="43">
        <v>675</v>
      </c>
      <c r="B678" s="50" t="s">
        <v>2130</v>
      </c>
      <c r="C678" s="49" t="s">
        <v>2131</v>
      </c>
      <c r="D678" s="50" t="s">
        <v>2120</v>
      </c>
    </row>
    <row r="679" customHeight="1" spans="1:4">
      <c r="A679" s="43">
        <v>676</v>
      </c>
      <c r="B679" s="50" t="s">
        <v>2132</v>
      </c>
      <c r="C679" s="49" t="s">
        <v>2133</v>
      </c>
      <c r="D679" s="50" t="s">
        <v>2120</v>
      </c>
    </row>
    <row r="680" customHeight="1" spans="1:4">
      <c r="A680" s="43">
        <v>677</v>
      </c>
      <c r="B680" s="50" t="s">
        <v>2134</v>
      </c>
      <c r="C680" s="49" t="s">
        <v>2135</v>
      </c>
      <c r="D680" s="50" t="s">
        <v>2120</v>
      </c>
    </row>
    <row r="681" customHeight="1" spans="1:4">
      <c r="A681" s="43">
        <v>678</v>
      </c>
      <c r="B681" s="50" t="s">
        <v>2136</v>
      </c>
      <c r="C681" s="49" t="s">
        <v>2137</v>
      </c>
      <c r="D681" s="50" t="s">
        <v>2129</v>
      </c>
    </row>
    <row r="682" customHeight="1" spans="1:4">
      <c r="A682" s="43">
        <v>679</v>
      </c>
      <c r="B682" s="50" t="s">
        <v>2138</v>
      </c>
      <c r="C682" s="49" t="s">
        <v>2139</v>
      </c>
      <c r="D682" s="50" t="s">
        <v>2129</v>
      </c>
    </row>
    <row r="683" customHeight="1" spans="1:4">
      <c r="A683" s="43">
        <v>680</v>
      </c>
      <c r="B683" s="50" t="s">
        <v>2140</v>
      </c>
      <c r="C683" s="49" t="s">
        <v>2141</v>
      </c>
      <c r="D683" s="50" t="s">
        <v>2129</v>
      </c>
    </row>
    <row r="684" customHeight="1" spans="1:4">
      <c r="A684" s="43">
        <v>681</v>
      </c>
      <c r="B684" s="50" t="s">
        <v>2142</v>
      </c>
      <c r="C684" s="49" t="s">
        <v>2143</v>
      </c>
      <c r="D684" s="50" t="s">
        <v>2129</v>
      </c>
    </row>
    <row r="685" customHeight="1" spans="1:4">
      <c r="A685" s="43">
        <v>682</v>
      </c>
      <c r="B685" s="50" t="s">
        <v>2144</v>
      </c>
      <c r="C685" s="49" t="s">
        <v>2145</v>
      </c>
      <c r="D685" s="50" t="s">
        <v>2129</v>
      </c>
    </row>
    <row r="686" customHeight="1" spans="1:4">
      <c r="A686" s="43">
        <v>683</v>
      </c>
      <c r="B686" s="50" t="s">
        <v>2146</v>
      </c>
      <c r="C686" s="49" t="s">
        <v>2147</v>
      </c>
      <c r="D686" s="50" t="s">
        <v>2129</v>
      </c>
    </row>
    <row r="687" customHeight="1" spans="1:4">
      <c r="A687" s="43">
        <v>684</v>
      </c>
      <c r="B687" s="50" t="s">
        <v>2148</v>
      </c>
      <c r="C687" s="49" t="s">
        <v>2149</v>
      </c>
      <c r="D687" s="50" t="s">
        <v>2129</v>
      </c>
    </row>
    <row r="688" customHeight="1" spans="1:4">
      <c r="A688" s="43">
        <v>685</v>
      </c>
      <c r="B688" s="50" t="s">
        <v>2150</v>
      </c>
      <c r="C688" s="49" t="s">
        <v>2151</v>
      </c>
      <c r="D688" s="50" t="s">
        <v>2129</v>
      </c>
    </row>
    <row r="689" customHeight="1" spans="1:4">
      <c r="A689" s="43">
        <v>686</v>
      </c>
      <c r="B689" s="50" t="s">
        <v>2152</v>
      </c>
      <c r="C689" s="49" t="s">
        <v>2153</v>
      </c>
      <c r="D689" s="50" t="s">
        <v>2129</v>
      </c>
    </row>
    <row r="690" customHeight="1" spans="1:4">
      <c r="A690" s="43">
        <v>687</v>
      </c>
      <c r="B690" s="50" t="s">
        <v>2154</v>
      </c>
      <c r="C690" s="49" t="s">
        <v>2155</v>
      </c>
      <c r="D690" s="50" t="s">
        <v>2129</v>
      </c>
    </row>
    <row r="691" customHeight="1" spans="1:4">
      <c r="A691" s="43">
        <v>688</v>
      </c>
      <c r="B691" s="50" t="s">
        <v>2156</v>
      </c>
      <c r="C691" s="49" t="s">
        <v>2157</v>
      </c>
      <c r="D691" s="50" t="s">
        <v>2129</v>
      </c>
    </row>
    <row r="692" customHeight="1" spans="1:4">
      <c r="A692" s="43">
        <v>689</v>
      </c>
      <c r="B692" s="50" t="s">
        <v>2158</v>
      </c>
      <c r="C692" s="49" t="s">
        <v>2159</v>
      </c>
      <c r="D692" s="50" t="s">
        <v>2129</v>
      </c>
    </row>
    <row r="693" customHeight="1" spans="1:4">
      <c r="A693" s="43">
        <v>690</v>
      </c>
      <c r="B693" s="50" t="s">
        <v>2160</v>
      </c>
      <c r="C693" s="49" t="s">
        <v>2161</v>
      </c>
      <c r="D693" s="50" t="s">
        <v>2129</v>
      </c>
    </row>
    <row r="694" customHeight="1" spans="1:4">
      <c r="A694" s="43">
        <v>691</v>
      </c>
      <c r="B694" s="50" t="s">
        <v>2162</v>
      </c>
      <c r="C694" s="49" t="s">
        <v>2163</v>
      </c>
      <c r="D694" s="50" t="s">
        <v>21</v>
      </c>
    </row>
    <row r="695" customHeight="1" spans="1:4">
      <c r="A695" s="43">
        <v>692</v>
      </c>
      <c r="B695" s="50" t="s">
        <v>2164</v>
      </c>
      <c r="C695" s="49" t="s">
        <v>2165</v>
      </c>
      <c r="D695" s="50" t="s">
        <v>21</v>
      </c>
    </row>
    <row r="696" customHeight="1" spans="1:4">
      <c r="A696" s="43">
        <v>693</v>
      </c>
      <c r="B696" s="50" t="s">
        <v>2166</v>
      </c>
      <c r="C696" s="49" t="s">
        <v>2167</v>
      </c>
      <c r="D696" s="50" t="s">
        <v>21</v>
      </c>
    </row>
    <row r="697" customHeight="1" spans="1:4">
      <c r="A697" s="43">
        <v>694</v>
      </c>
      <c r="B697" s="50" t="s">
        <v>2168</v>
      </c>
      <c r="C697" s="49" t="s">
        <v>2169</v>
      </c>
      <c r="D697" s="50" t="s">
        <v>2129</v>
      </c>
    </row>
    <row r="698" customHeight="1" spans="1:4">
      <c r="A698" s="43">
        <v>695</v>
      </c>
      <c r="B698" s="50" t="s">
        <v>2170</v>
      </c>
      <c r="C698" s="49" t="s">
        <v>2171</v>
      </c>
      <c r="D698" s="50" t="s">
        <v>2129</v>
      </c>
    </row>
    <row r="699" customHeight="1" spans="1:4">
      <c r="A699" s="43">
        <v>696</v>
      </c>
      <c r="B699" s="50" t="s">
        <v>2172</v>
      </c>
      <c r="C699" s="49" t="s">
        <v>2173</v>
      </c>
      <c r="D699" s="50" t="s">
        <v>2129</v>
      </c>
    </row>
    <row r="700" customHeight="1" spans="1:4">
      <c r="A700" s="43">
        <v>697</v>
      </c>
      <c r="B700" s="50" t="s">
        <v>2174</v>
      </c>
      <c r="C700" s="49" t="s">
        <v>2175</v>
      </c>
      <c r="D700" s="50" t="s">
        <v>2129</v>
      </c>
    </row>
    <row r="701" customHeight="1" spans="1:4">
      <c r="A701" s="43">
        <v>698</v>
      </c>
      <c r="B701" s="50" t="s">
        <v>2176</v>
      </c>
      <c r="C701" s="49" t="s">
        <v>2177</v>
      </c>
      <c r="D701" s="50" t="s">
        <v>2120</v>
      </c>
    </row>
    <row r="702" customHeight="1" spans="1:4">
      <c r="A702" s="43">
        <v>699</v>
      </c>
      <c r="B702" s="50" t="s">
        <v>2178</v>
      </c>
      <c r="C702" s="49" t="s">
        <v>2179</v>
      </c>
      <c r="D702" s="50" t="s">
        <v>2120</v>
      </c>
    </row>
    <row r="703" customHeight="1" spans="1:4">
      <c r="A703" s="43">
        <v>700</v>
      </c>
      <c r="B703" s="50" t="s">
        <v>2180</v>
      </c>
      <c r="C703" s="49" t="s">
        <v>2181</v>
      </c>
      <c r="D703" s="50" t="s">
        <v>2120</v>
      </c>
    </row>
    <row r="704" customHeight="1" spans="1:4">
      <c r="A704" s="43">
        <v>701</v>
      </c>
      <c r="B704" s="50" t="s">
        <v>2182</v>
      </c>
      <c r="C704" s="49" t="s">
        <v>2183</v>
      </c>
      <c r="D704" s="50" t="s">
        <v>2120</v>
      </c>
    </row>
    <row r="705" customHeight="1" spans="1:4">
      <c r="A705" s="43">
        <v>702</v>
      </c>
      <c r="B705" s="50" t="s">
        <v>2184</v>
      </c>
      <c r="C705" s="49" t="s">
        <v>2185</v>
      </c>
      <c r="D705" s="50" t="s">
        <v>2120</v>
      </c>
    </row>
    <row r="706" customHeight="1" spans="1:4">
      <c r="A706" s="43">
        <v>703</v>
      </c>
      <c r="B706" s="50" t="s">
        <v>2186</v>
      </c>
      <c r="C706" s="49" t="s">
        <v>2187</v>
      </c>
      <c r="D706" s="50" t="s">
        <v>2120</v>
      </c>
    </row>
    <row r="707" customHeight="1" spans="1:4">
      <c r="A707" s="43">
        <v>704</v>
      </c>
      <c r="B707" s="50" t="s">
        <v>2188</v>
      </c>
      <c r="C707" s="49" t="s">
        <v>2189</v>
      </c>
      <c r="D707" s="50" t="s">
        <v>2120</v>
      </c>
    </row>
    <row r="708" customHeight="1" spans="1:4">
      <c r="A708" s="43">
        <v>705</v>
      </c>
      <c r="B708" s="50" t="s">
        <v>2190</v>
      </c>
      <c r="C708" s="49" t="s">
        <v>2191</v>
      </c>
      <c r="D708" s="50" t="s">
        <v>2192</v>
      </c>
    </row>
    <row r="709" customHeight="1" spans="1:4">
      <c r="A709" s="43">
        <v>706</v>
      </c>
      <c r="B709" s="50" t="s">
        <v>2193</v>
      </c>
      <c r="C709" s="49" t="s">
        <v>2194</v>
      </c>
      <c r="D709" s="50" t="s">
        <v>2120</v>
      </c>
    </row>
    <row r="710" customHeight="1" spans="1:4">
      <c r="A710" s="43">
        <v>707</v>
      </c>
      <c r="B710" s="50" t="s">
        <v>2195</v>
      </c>
      <c r="C710" s="49" t="s">
        <v>2196</v>
      </c>
      <c r="D710" s="50" t="s">
        <v>2120</v>
      </c>
    </row>
    <row r="711" customHeight="1" spans="1:4">
      <c r="A711" s="43">
        <v>708</v>
      </c>
      <c r="B711" s="50" t="s">
        <v>2197</v>
      </c>
      <c r="C711" s="49" t="s">
        <v>2198</v>
      </c>
      <c r="D711" s="50" t="s">
        <v>2192</v>
      </c>
    </row>
    <row r="712" customHeight="1" spans="1:4">
      <c r="A712" s="43">
        <v>709</v>
      </c>
      <c r="B712" s="50" t="s">
        <v>2199</v>
      </c>
      <c r="C712" s="49" t="s">
        <v>2200</v>
      </c>
      <c r="D712" s="50" t="s">
        <v>2192</v>
      </c>
    </row>
    <row r="713" customHeight="1" spans="1:4">
      <c r="A713" s="43">
        <v>710</v>
      </c>
      <c r="B713" s="50" t="s">
        <v>2201</v>
      </c>
      <c r="C713" s="49" t="s">
        <v>2202</v>
      </c>
      <c r="D713" s="50" t="s">
        <v>2192</v>
      </c>
    </row>
    <row r="714" customHeight="1" spans="1:4">
      <c r="A714" s="43">
        <v>711</v>
      </c>
      <c r="B714" s="50" t="s">
        <v>2203</v>
      </c>
      <c r="C714" s="49" t="s">
        <v>2204</v>
      </c>
      <c r="D714" s="50" t="s">
        <v>2120</v>
      </c>
    </row>
    <row r="715" customHeight="1" spans="1:4">
      <c r="A715" s="43">
        <v>712</v>
      </c>
      <c r="B715" s="50" t="s">
        <v>2205</v>
      </c>
      <c r="C715" s="49" t="s">
        <v>2206</v>
      </c>
      <c r="D715" s="50" t="s">
        <v>2120</v>
      </c>
    </row>
    <row r="716" customHeight="1" spans="1:4">
      <c r="A716" s="43">
        <v>713</v>
      </c>
      <c r="B716" s="50" t="s">
        <v>2207</v>
      </c>
      <c r="C716" s="49" t="s">
        <v>2208</v>
      </c>
      <c r="D716" s="50" t="s">
        <v>2120</v>
      </c>
    </row>
    <row r="717" customHeight="1" spans="1:4">
      <c r="A717" s="43">
        <v>714</v>
      </c>
      <c r="B717" s="51" t="s">
        <v>2209</v>
      </c>
      <c r="C717" s="52" t="s">
        <v>2210</v>
      </c>
      <c r="D717" s="53" t="s">
        <v>2120</v>
      </c>
    </row>
    <row r="718" customHeight="1" spans="1:4">
      <c r="A718" s="43">
        <v>715</v>
      </c>
      <c r="B718" s="50" t="s">
        <v>2211</v>
      </c>
      <c r="C718" s="49" t="s">
        <v>2212</v>
      </c>
      <c r="D718" s="50" t="s">
        <v>2120</v>
      </c>
    </row>
    <row r="719" customHeight="1" spans="1:4">
      <c r="A719" s="43">
        <v>716</v>
      </c>
      <c r="B719" s="50" t="s">
        <v>2213</v>
      </c>
      <c r="C719" s="49" t="s">
        <v>2214</v>
      </c>
      <c r="D719" s="50" t="s">
        <v>2120</v>
      </c>
    </row>
    <row r="720" customHeight="1" spans="1:4">
      <c r="A720" s="43">
        <v>717</v>
      </c>
      <c r="B720" s="50" t="s">
        <v>2215</v>
      </c>
      <c r="C720" s="49" t="s">
        <v>2216</v>
      </c>
      <c r="D720" s="50" t="s">
        <v>2120</v>
      </c>
    </row>
    <row r="721" customHeight="1" spans="1:4">
      <c r="A721" s="43">
        <v>718</v>
      </c>
      <c r="B721" s="50" t="s">
        <v>2217</v>
      </c>
      <c r="C721" s="49" t="s">
        <v>2218</v>
      </c>
      <c r="D721" s="50" t="s">
        <v>2120</v>
      </c>
    </row>
    <row r="722" customHeight="1" spans="1:4">
      <c r="A722" s="43">
        <v>719</v>
      </c>
      <c r="B722" s="50" t="s">
        <v>2219</v>
      </c>
      <c r="C722" s="49" t="s">
        <v>2220</v>
      </c>
      <c r="D722" s="50" t="s">
        <v>2120</v>
      </c>
    </row>
    <row r="723" customHeight="1" spans="1:4">
      <c r="A723" s="43">
        <v>720</v>
      </c>
      <c r="B723" s="50" t="s">
        <v>2221</v>
      </c>
      <c r="C723" s="49" t="s">
        <v>2222</v>
      </c>
      <c r="D723" s="50" t="s">
        <v>2120</v>
      </c>
    </row>
    <row r="724" customHeight="1" spans="1:4">
      <c r="A724" s="43">
        <v>721</v>
      </c>
      <c r="B724" s="50" t="s">
        <v>2223</v>
      </c>
      <c r="C724" s="49" t="s">
        <v>2224</v>
      </c>
      <c r="D724" s="50" t="s">
        <v>2120</v>
      </c>
    </row>
    <row r="725" customHeight="1" spans="1:4">
      <c r="A725" s="43">
        <v>722</v>
      </c>
      <c r="B725" s="50" t="s">
        <v>2225</v>
      </c>
      <c r="C725" s="49" t="s">
        <v>2226</v>
      </c>
      <c r="D725" s="50" t="s">
        <v>2120</v>
      </c>
    </row>
    <row r="726" customHeight="1" spans="1:4">
      <c r="A726" s="43">
        <v>723</v>
      </c>
      <c r="B726" s="50" t="s">
        <v>2227</v>
      </c>
      <c r="C726" s="49" t="s">
        <v>2228</v>
      </c>
      <c r="D726" s="50" t="s">
        <v>2120</v>
      </c>
    </row>
    <row r="727" customHeight="1" spans="1:4">
      <c r="A727" s="43">
        <v>724</v>
      </c>
      <c r="B727" s="50" t="s">
        <v>2229</v>
      </c>
      <c r="C727" s="49" t="s">
        <v>2230</v>
      </c>
      <c r="D727" s="50" t="s">
        <v>2120</v>
      </c>
    </row>
    <row r="728" customHeight="1" spans="1:4">
      <c r="A728" s="43">
        <v>725</v>
      </c>
      <c r="B728" s="50" t="s">
        <v>2231</v>
      </c>
      <c r="C728" s="49" t="s">
        <v>2232</v>
      </c>
      <c r="D728" s="50" t="s">
        <v>2120</v>
      </c>
    </row>
    <row r="729" customHeight="1" spans="1:4">
      <c r="A729" s="43">
        <v>726</v>
      </c>
      <c r="B729" s="50" t="s">
        <v>2233</v>
      </c>
      <c r="C729" s="49" t="s">
        <v>2234</v>
      </c>
      <c r="D729" s="50" t="s">
        <v>2120</v>
      </c>
    </row>
    <row r="730" customHeight="1" spans="1:4">
      <c r="A730" s="43">
        <v>727</v>
      </c>
      <c r="B730" s="50" t="s">
        <v>2235</v>
      </c>
      <c r="C730" s="49" t="s">
        <v>2236</v>
      </c>
      <c r="D730" s="50" t="s">
        <v>2120</v>
      </c>
    </row>
    <row r="731" customHeight="1" spans="1:4">
      <c r="A731" s="43">
        <v>728</v>
      </c>
      <c r="B731" s="50" t="s">
        <v>2237</v>
      </c>
      <c r="C731" s="49" t="s">
        <v>2238</v>
      </c>
      <c r="D731" s="50" t="s">
        <v>2120</v>
      </c>
    </row>
    <row r="732" customHeight="1" spans="1:4">
      <c r="A732" s="43">
        <v>729</v>
      </c>
      <c r="B732" s="50" t="s">
        <v>2239</v>
      </c>
      <c r="C732" s="49" t="s">
        <v>2240</v>
      </c>
      <c r="D732" s="50" t="s">
        <v>21</v>
      </c>
    </row>
    <row r="733" customHeight="1" spans="1:4">
      <c r="A733" s="43">
        <v>730</v>
      </c>
      <c r="B733" s="50" t="s">
        <v>2241</v>
      </c>
      <c r="C733" s="49" t="s">
        <v>2242</v>
      </c>
      <c r="D733" s="50" t="s">
        <v>2120</v>
      </c>
    </row>
    <row r="734" customHeight="1" spans="1:4">
      <c r="A734" s="43">
        <v>731</v>
      </c>
      <c r="B734" s="50" t="s">
        <v>2243</v>
      </c>
      <c r="C734" s="49" t="s">
        <v>2244</v>
      </c>
      <c r="D734" s="50" t="s">
        <v>2120</v>
      </c>
    </row>
    <row r="735" customHeight="1" spans="1:4">
      <c r="A735" s="43">
        <v>732</v>
      </c>
      <c r="B735" s="50" t="s">
        <v>2245</v>
      </c>
      <c r="C735" s="49" t="s">
        <v>2246</v>
      </c>
      <c r="D735" s="50" t="s">
        <v>2120</v>
      </c>
    </row>
    <row r="736" customHeight="1" spans="1:4">
      <c r="A736" s="43">
        <v>733</v>
      </c>
      <c r="B736" s="50" t="s">
        <v>2247</v>
      </c>
      <c r="C736" s="49" t="s">
        <v>2248</v>
      </c>
      <c r="D736" s="50" t="s">
        <v>2120</v>
      </c>
    </row>
    <row r="737" customHeight="1" spans="1:4">
      <c r="A737" s="43">
        <v>734</v>
      </c>
      <c r="B737" s="50" t="s">
        <v>2249</v>
      </c>
      <c r="C737" s="49" t="s">
        <v>2250</v>
      </c>
      <c r="D737" s="50" t="s">
        <v>2120</v>
      </c>
    </row>
    <row r="738" customHeight="1" spans="1:4">
      <c r="A738" s="43">
        <v>735</v>
      </c>
      <c r="B738" s="50" t="s">
        <v>2251</v>
      </c>
      <c r="C738" s="49" t="s">
        <v>2252</v>
      </c>
      <c r="D738" s="50" t="s">
        <v>2120</v>
      </c>
    </row>
    <row r="739" customHeight="1" spans="1:4">
      <c r="A739" s="43">
        <v>736</v>
      </c>
      <c r="B739" s="50" t="s">
        <v>2253</v>
      </c>
      <c r="C739" s="49" t="s">
        <v>2254</v>
      </c>
      <c r="D739" s="50" t="s">
        <v>21</v>
      </c>
    </row>
    <row r="740" customHeight="1" spans="1:4">
      <c r="A740" s="43">
        <v>737</v>
      </c>
      <c r="B740" s="50" t="s">
        <v>2255</v>
      </c>
      <c r="C740" s="49" t="s">
        <v>2256</v>
      </c>
      <c r="D740" s="50" t="s">
        <v>21</v>
      </c>
    </row>
    <row r="741" customHeight="1" spans="1:4">
      <c r="A741" s="43">
        <v>738</v>
      </c>
      <c r="B741" s="50" t="s">
        <v>2257</v>
      </c>
      <c r="C741" s="49" t="s">
        <v>2258</v>
      </c>
      <c r="D741" s="50" t="s">
        <v>21</v>
      </c>
    </row>
    <row r="742" customHeight="1" spans="1:4">
      <c r="A742" s="43">
        <v>739</v>
      </c>
      <c r="B742" s="50" t="s">
        <v>2259</v>
      </c>
      <c r="C742" s="49" t="s">
        <v>2260</v>
      </c>
      <c r="D742" s="50" t="s">
        <v>21</v>
      </c>
    </row>
    <row r="743" customHeight="1" spans="1:4">
      <c r="A743" s="43">
        <v>740</v>
      </c>
      <c r="B743" s="50" t="s">
        <v>2261</v>
      </c>
      <c r="C743" s="49" t="s">
        <v>2262</v>
      </c>
      <c r="D743" s="50" t="s">
        <v>21</v>
      </c>
    </row>
    <row r="744" customHeight="1" spans="1:4">
      <c r="A744" s="43">
        <v>741</v>
      </c>
      <c r="B744" s="50" t="s">
        <v>2263</v>
      </c>
      <c r="C744" s="49" t="s">
        <v>2264</v>
      </c>
      <c r="D744" s="50" t="s">
        <v>21</v>
      </c>
    </row>
    <row r="745" customHeight="1" spans="1:4">
      <c r="A745" s="43">
        <v>742</v>
      </c>
      <c r="B745" s="50" t="s">
        <v>2265</v>
      </c>
      <c r="C745" s="49" t="s">
        <v>2266</v>
      </c>
      <c r="D745" s="50" t="s">
        <v>21</v>
      </c>
    </row>
    <row r="746" customHeight="1" spans="1:4">
      <c r="A746" s="43">
        <v>743</v>
      </c>
      <c r="B746" s="50" t="s">
        <v>2267</v>
      </c>
      <c r="C746" s="49" t="s">
        <v>2268</v>
      </c>
      <c r="D746" s="50" t="s">
        <v>21</v>
      </c>
    </row>
    <row r="747" customHeight="1" spans="1:4">
      <c r="A747" s="43">
        <v>744</v>
      </c>
      <c r="B747" s="50" t="s">
        <v>2269</v>
      </c>
      <c r="C747" s="49" t="s">
        <v>2270</v>
      </c>
      <c r="D747" s="50" t="s">
        <v>21</v>
      </c>
    </row>
    <row r="748" customHeight="1" spans="1:4">
      <c r="A748" s="43">
        <v>745</v>
      </c>
      <c r="B748" s="50" t="s">
        <v>2271</v>
      </c>
      <c r="C748" s="49" t="s">
        <v>2272</v>
      </c>
      <c r="D748" s="50" t="s">
        <v>2120</v>
      </c>
    </row>
    <row r="749" customHeight="1" spans="1:4">
      <c r="A749" s="43">
        <v>746</v>
      </c>
      <c r="B749" s="50" t="s">
        <v>2273</v>
      </c>
      <c r="C749" s="49" t="s">
        <v>2274</v>
      </c>
      <c r="D749" s="50" t="s">
        <v>21</v>
      </c>
    </row>
    <row r="750" customHeight="1" spans="1:4">
      <c r="A750" s="43">
        <v>747</v>
      </c>
      <c r="B750" s="50" t="s">
        <v>2275</v>
      </c>
      <c r="C750" s="49" t="s">
        <v>2276</v>
      </c>
      <c r="D750" s="50" t="s">
        <v>2120</v>
      </c>
    </row>
    <row r="751" customHeight="1" spans="1:4">
      <c r="A751" s="43">
        <v>748</v>
      </c>
      <c r="B751" s="50" t="s">
        <v>2277</v>
      </c>
      <c r="C751" s="49" t="s">
        <v>2278</v>
      </c>
      <c r="D751" s="50" t="s">
        <v>2279</v>
      </c>
    </row>
    <row r="752" customHeight="1" spans="1:4">
      <c r="A752" s="43">
        <v>749</v>
      </c>
      <c r="B752" s="50" t="s">
        <v>2280</v>
      </c>
      <c r="C752" s="49" t="s">
        <v>2281</v>
      </c>
      <c r="D752" s="50" t="s">
        <v>2120</v>
      </c>
    </row>
    <row r="753" customHeight="1" spans="1:4">
      <c r="A753" s="43">
        <v>750</v>
      </c>
      <c r="B753" s="50" t="s">
        <v>2282</v>
      </c>
      <c r="C753" s="49" t="s">
        <v>2283</v>
      </c>
      <c r="D753" s="50" t="s">
        <v>2120</v>
      </c>
    </row>
    <row r="754" customHeight="1" spans="1:4">
      <c r="A754" s="43">
        <v>751</v>
      </c>
      <c r="B754" s="50" t="s">
        <v>2284</v>
      </c>
      <c r="C754" s="49" t="s">
        <v>2285</v>
      </c>
      <c r="D754" s="50" t="s">
        <v>2120</v>
      </c>
    </row>
    <row r="755" customHeight="1" spans="1:4">
      <c r="A755" s="43">
        <v>752</v>
      </c>
      <c r="B755" s="50" t="s">
        <v>2286</v>
      </c>
      <c r="C755" s="49" t="s">
        <v>2287</v>
      </c>
      <c r="D755" s="50" t="s">
        <v>2120</v>
      </c>
    </row>
    <row r="756" customHeight="1" spans="1:4">
      <c r="A756" s="43">
        <v>753</v>
      </c>
      <c r="B756" s="50" t="s">
        <v>2288</v>
      </c>
      <c r="C756" s="49" t="s">
        <v>2289</v>
      </c>
      <c r="D756" s="50" t="s">
        <v>2120</v>
      </c>
    </row>
    <row r="757" customHeight="1" spans="1:4">
      <c r="A757" s="43">
        <v>754</v>
      </c>
      <c r="B757" s="50" t="s">
        <v>2290</v>
      </c>
      <c r="C757" s="49" t="s">
        <v>2291</v>
      </c>
      <c r="D757" s="50" t="s">
        <v>2120</v>
      </c>
    </row>
    <row r="758" customHeight="1" spans="1:4">
      <c r="A758" s="43">
        <v>755</v>
      </c>
      <c r="B758" s="50" t="s">
        <v>2292</v>
      </c>
      <c r="C758" s="49" t="s">
        <v>2293</v>
      </c>
      <c r="D758" s="50" t="s">
        <v>2120</v>
      </c>
    </row>
    <row r="759" customHeight="1" spans="1:4">
      <c r="A759" s="43">
        <v>756</v>
      </c>
      <c r="B759" s="50" t="s">
        <v>2294</v>
      </c>
      <c r="C759" s="49" t="s">
        <v>2295</v>
      </c>
      <c r="D759" s="50" t="s">
        <v>2120</v>
      </c>
    </row>
    <row r="760" customHeight="1" spans="1:4">
      <c r="A760" s="43">
        <v>757</v>
      </c>
      <c r="B760" s="50" t="s">
        <v>2296</v>
      </c>
      <c r="C760" s="49" t="s">
        <v>2297</v>
      </c>
      <c r="D760" s="50" t="s">
        <v>2120</v>
      </c>
    </row>
    <row r="761" customHeight="1" spans="1:4">
      <c r="A761" s="43">
        <v>758</v>
      </c>
      <c r="B761" s="50" t="s">
        <v>2298</v>
      </c>
      <c r="C761" s="49" t="s">
        <v>2299</v>
      </c>
      <c r="D761" s="50" t="s">
        <v>2120</v>
      </c>
    </row>
    <row r="762" customHeight="1" spans="1:4">
      <c r="A762" s="43">
        <v>759</v>
      </c>
      <c r="B762" s="50" t="s">
        <v>2300</v>
      </c>
      <c r="C762" s="49" t="s">
        <v>2301</v>
      </c>
      <c r="D762" s="50" t="s">
        <v>2120</v>
      </c>
    </row>
    <row r="763" customHeight="1" spans="1:4">
      <c r="A763" s="43">
        <v>760</v>
      </c>
      <c r="B763" s="50" t="s">
        <v>2302</v>
      </c>
      <c r="C763" s="49" t="s">
        <v>2303</v>
      </c>
      <c r="D763" s="50" t="s">
        <v>2120</v>
      </c>
    </row>
    <row r="764" customHeight="1" spans="1:4">
      <c r="A764" s="43">
        <v>761</v>
      </c>
      <c r="B764" s="50" t="s">
        <v>2304</v>
      </c>
      <c r="C764" s="49" t="s">
        <v>2305</v>
      </c>
      <c r="D764" s="50" t="s">
        <v>2120</v>
      </c>
    </row>
    <row r="765" customHeight="1" spans="1:4">
      <c r="A765" s="43">
        <v>762</v>
      </c>
      <c r="B765" s="50" t="s">
        <v>2306</v>
      </c>
      <c r="C765" s="49" t="s">
        <v>2307</v>
      </c>
      <c r="D765" s="50" t="s">
        <v>2120</v>
      </c>
    </row>
    <row r="766" customHeight="1" spans="1:4">
      <c r="A766" s="43">
        <v>763</v>
      </c>
      <c r="B766" s="50" t="s">
        <v>2308</v>
      </c>
      <c r="C766" s="49" t="s">
        <v>2309</v>
      </c>
      <c r="D766" s="50" t="s">
        <v>2120</v>
      </c>
    </row>
    <row r="767" customHeight="1" spans="1:4">
      <c r="A767" s="43">
        <v>764</v>
      </c>
      <c r="B767" s="50" t="s">
        <v>2310</v>
      </c>
      <c r="C767" s="49" t="s">
        <v>2311</v>
      </c>
      <c r="D767" s="50" t="s">
        <v>2120</v>
      </c>
    </row>
    <row r="768" customHeight="1" spans="1:4">
      <c r="A768" s="43">
        <v>765</v>
      </c>
      <c r="B768" s="50" t="s">
        <v>2312</v>
      </c>
      <c r="C768" s="49" t="s">
        <v>2313</v>
      </c>
      <c r="D768" s="50" t="s">
        <v>2120</v>
      </c>
    </row>
    <row r="769" customHeight="1" spans="1:4">
      <c r="A769" s="43">
        <v>766</v>
      </c>
      <c r="B769" s="50" t="s">
        <v>2314</v>
      </c>
      <c r="C769" s="49" t="s">
        <v>2315</v>
      </c>
      <c r="D769" s="50" t="s">
        <v>2120</v>
      </c>
    </row>
    <row r="770" customHeight="1" spans="1:4">
      <c r="A770" s="43">
        <v>767</v>
      </c>
      <c r="B770" s="50" t="s">
        <v>2316</v>
      </c>
      <c r="C770" s="49" t="s">
        <v>2317</v>
      </c>
      <c r="D770" s="50" t="s">
        <v>2120</v>
      </c>
    </row>
    <row r="771" customHeight="1" spans="1:4">
      <c r="A771" s="43">
        <v>768</v>
      </c>
      <c r="B771" s="50" t="s">
        <v>2318</v>
      </c>
      <c r="C771" s="49" t="s">
        <v>2319</v>
      </c>
      <c r="D771" s="50" t="s">
        <v>2120</v>
      </c>
    </row>
    <row r="772" customHeight="1" spans="1:4">
      <c r="A772" s="43">
        <v>769</v>
      </c>
      <c r="B772" s="50" t="s">
        <v>2320</v>
      </c>
      <c r="C772" s="49" t="s">
        <v>2321</v>
      </c>
      <c r="D772" s="50" t="s">
        <v>2120</v>
      </c>
    </row>
    <row r="773" customHeight="1" spans="1:4">
      <c r="A773" s="43">
        <v>770</v>
      </c>
      <c r="B773" s="50" t="s">
        <v>2322</v>
      </c>
      <c r="C773" s="49" t="s">
        <v>2323</v>
      </c>
      <c r="D773" s="50" t="s">
        <v>2120</v>
      </c>
    </row>
    <row r="774" customHeight="1" spans="1:4">
      <c r="A774" s="43">
        <v>771</v>
      </c>
      <c r="B774" s="50" t="s">
        <v>2324</v>
      </c>
      <c r="C774" s="49" t="s">
        <v>2325</v>
      </c>
      <c r="D774" s="50" t="s">
        <v>2120</v>
      </c>
    </row>
    <row r="775" customHeight="1" spans="1:4">
      <c r="A775" s="43">
        <v>772</v>
      </c>
      <c r="B775" s="50" t="s">
        <v>2326</v>
      </c>
      <c r="C775" s="49" t="s">
        <v>2327</v>
      </c>
      <c r="D775" s="50" t="s">
        <v>2120</v>
      </c>
    </row>
    <row r="776" customHeight="1" spans="1:4">
      <c r="A776" s="43">
        <v>773</v>
      </c>
      <c r="B776" s="50" t="s">
        <v>2328</v>
      </c>
      <c r="C776" s="49" t="s">
        <v>2329</v>
      </c>
      <c r="D776" s="50" t="s">
        <v>21</v>
      </c>
    </row>
    <row r="777" customHeight="1" spans="1:4">
      <c r="A777" s="43">
        <v>774</v>
      </c>
      <c r="B777" s="50" t="s">
        <v>2330</v>
      </c>
      <c r="C777" s="49" t="s">
        <v>2331</v>
      </c>
      <c r="D777" s="50" t="s">
        <v>2120</v>
      </c>
    </row>
    <row r="778" customHeight="1" spans="1:4">
      <c r="A778" s="43">
        <v>775</v>
      </c>
      <c r="B778" s="50" t="s">
        <v>2332</v>
      </c>
      <c r="C778" s="49" t="s">
        <v>2333</v>
      </c>
      <c r="D778" s="50" t="s">
        <v>21</v>
      </c>
    </row>
    <row r="779" customHeight="1" spans="1:4">
      <c r="A779" s="43">
        <v>776</v>
      </c>
      <c r="B779" s="50" t="s">
        <v>2334</v>
      </c>
      <c r="C779" s="49" t="s">
        <v>2335</v>
      </c>
      <c r="D779" s="50" t="s">
        <v>21</v>
      </c>
    </row>
    <row r="780" customHeight="1" spans="1:4">
      <c r="A780" s="43">
        <v>777</v>
      </c>
      <c r="B780" s="50" t="s">
        <v>2336</v>
      </c>
      <c r="C780" s="49" t="s">
        <v>2337</v>
      </c>
      <c r="D780" s="50" t="s">
        <v>2120</v>
      </c>
    </row>
    <row r="781" customHeight="1" spans="1:4">
      <c r="A781" s="43">
        <v>778</v>
      </c>
      <c r="B781" s="50" t="s">
        <v>2338</v>
      </c>
      <c r="C781" s="49" t="s">
        <v>2339</v>
      </c>
      <c r="D781" s="50" t="s">
        <v>1972</v>
      </c>
    </row>
    <row r="782" customHeight="1" spans="1:4">
      <c r="A782" s="43">
        <v>779</v>
      </c>
      <c r="B782" s="50" t="s">
        <v>2340</v>
      </c>
      <c r="C782" s="49" t="s">
        <v>2341</v>
      </c>
      <c r="D782" s="50" t="s">
        <v>1972</v>
      </c>
    </row>
    <row r="783" customHeight="1" spans="1:4">
      <c r="A783" s="43">
        <v>780</v>
      </c>
      <c r="B783" s="50" t="s">
        <v>2342</v>
      </c>
      <c r="C783" s="49" t="s">
        <v>2343</v>
      </c>
      <c r="D783" s="50" t="s">
        <v>21</v>
      </c>
    </row>
    <row r="784" customHeight="1" spans="1:4">
      <c r="A784" s="43">
        <v>781</v>
      </c>
      <c r="B784" s="50" t="s">
        <v>2344</v>
      </c>
      <c r="C784" s="49" t="s">
        <v>2345</v>
      </c>
      <c r="D784" s="50" t="s">
        <v>2120</v>
      </c>
    </row>
    <row r="785" customHeight="1" spans="1:4">
      <c r="A785" s="43">
        <v>782</v>
      </c>
      <c r="B785" s="50" t="s">
        <v>2346</v>
      </c>
      <c r="C785" s="49" t="s">
        <v>2347</v>
      </c>
      <c r="D785" s="50" t="s">
        <v>21</v>
      </c>
    </row>
    <row r="786" customHeight="1" spans="1:4">
      <c r="A786" s="43">
        <v>783</v>
      </c>
      <c r="B786" s="50" t="s">
        <v>2348</v>
      </c>
      <c r="C786" s="49" t="s">
        <v>2349</v>
      </c>
      <c r="D786" s="50" t="s">
        <v>2120</v>
      </c>
    </row>
    <row r="787" customHeight="1" spans="1:4">
      <c r="A787" s="43">
        <v>784</v>
      </c>
      <c r="B787" s="50" t="s">
        <v>2350</v>
      </c>
      <c r="C787" s="49" t="s">
        <v>2351</v>
      </c>
      <c r="D787" s="50" t="s">
        <v>2120</v>
      </c>
    </row>
    <row r="788" customHeight="1" spans="1:4">
      <c r="A788" s="43">
        <v>785</v>
      </c>
      <c r="B788" s="50" t="s">
        <v>2352</v>
      </c>
      <c r="C788" s="49" t="s">
        <v>2353</v>
      </c>
      <c r="D788" s="50" t="s">
        <v>2354</v>
      </c>
    </row>
    <row r="789" customHeight="1" spans="1:4">
      <c r="A789" s="43">
        <v>786</v>
      </c>
      <c r="B789" s="50" t="s">
        <v>2355</v>
      </c>
      <c r="C789" s="49" t="s">
        <v>2356</v>
      </c>
      <c r="D789" s="50" t="s">
        <v>2354</v>
      </c>
    </row>
    <row r="790" customHeight="1" spans="1:4">
      <c r="A790" s="43">
        <v>787</v>
      </c>
      <c r="B790" s="50" t="s">
        <v>2357</v>
      </c>
      <c r="C790" s="49" t="s">
        <v>2358</v>
      </c>
      <c r="D790" s="50" t="s">
        <v>2359</v>
      </c>
    </row>
    <row r="791" customHeight="1" spans="1:4">
      <c r="A791" s="43">
        <v>788</v>
      </c>
      <c r="B791" s="50" t="s">
        <v>2360</v>
      </c>
      <c r="C791" s="49" t="s">
        <v>2361</v>
      </c>
      <c r="D791" s="50" t="s">
        <v>2120</v>
      </c>
    </row>
    <row r="792" customHeight="1" spans="1:4">
      <c r="A792" s="43">
        <v>789</v>
      </c>
      <c r="B792" s="50" t="s">
        <v>2362</v>
      </c>
      <c r="C792" s="49" t="s">
        <v>2363</v>
      </c>
      <c r="D792" s="50" t="s">
        <v>2120</v>
      </c>
    </row>
    <row r="793" customHeight="1" spans="1:4">
      <c r="A793" s="43">
        <v>790</v>
      </c>
      <c r="B793" s="50" t="s">
        <v>2364</v>
      </c>
      <c r="C793" s="49" t="s">
        <v>2365</v>
      </c>
      <c r="D793" s="50" t="s">
        <v>2120</v>
      </c>
    </row>
    <row r="794" customHeight="1" spans="1:4">
      <c r="A794" s="43">
        <v>791</v>
      </c>
      <c r="B794" s="143" t="s">
        <v>2366</v>
      </c>
      <c r="C794" s="49" t="s">
        <v>2367</v>
      </c>
      <c r="D794" s="50" t="s">
        <v>2120</v>
      </c>
    </row>
    <row r="795" customHeight="1" spans="1:4">
      <c r="A795" s="43">
        <v>792</v>
      </c>
      <c r="B795" s="143" t="s">
        <v>2368</v>
      </c>
      <c r="C795" s="49" t="s">
        <v>2369</v>
      </c>
      <c r="D795" s="50" t="s">
        <v>2120</v>
      </c>
    </row>
    <row r="796" customHeight="1" spans="1:4">
      <c r="A796" s="43">
        <v>793</v>
      </c>
      <c r="B796" s="50" t="s">
        <v>2370</v>
      </c>
      <c r="C796" s="49" t="s">
        <v>2371</v>
      </c>
      <c r="D796" s="50" t="s">
        <v>2120</v>
      </c>
    </row>
    <row r="797" customHeight="1" spans="1:4">
      <c r="A797" s="43">
        <v>794</v>
      </c>
      <c r="B797" s="50" t="s">
        <v>2372</v>
      </c>
      <c r="C797" s="49" t="s">
        <v>2373</v>
      </c>
      <c r="D797" s="50" t="s">
        <v>2120</v>
      </c>
    </row>
    <row r="798" customHeight="1" spans="1:4">
      <c r="A798" s="43">
        <v>795</v>
      </c>
      <c r="B798" s="50" t="s">
        <v>2374</v>
      </c>
      <c r="C798" s="49" t="s">
        <v>2375</v>
      </c>
      <c r="D798" s="50" t="s">
        <v>2120</v>
      </c>
    </row>
    <row r="799" customHeight="1" spans="1:4">
      <c r="A799" s="43">
        <v>796</v>
      </c>
      <c r="B799" s="50" t="s">
        <v>2376</v>
      </c>
      <c r="C799" s="49" t="s">
        <v>2377</v>
      </c>
      <c r="D799" s="50" t="s">
        <v>2120</v>
      </c>
    </row>
    <row r="800" customHeight="1" spans="1:4">
      <c r="A800" s="43">
        <v>797</v>
      </c>
      <c r="B800" s="50" t="s">
        <v>2378</v>
      </c>
      <c r="C800" s="49" t="s">
        <v>2379</v>
      </c>
      <c r="D800" s="50" t="s">
        <v>2120</v>
      </c>
    </row>
    <row r="801" customHeight="1" spans="1:4">
      <c r="A801" s="43">
        <v>798</v>
      </c>
      <c r="B801" s="50" t="s">
        <v>2380</v>
      </c>
      <c r="C801" s="49" t="s">
        <v>2381</v>
      </c>
      <c r="D801" s="50" t="s">
        <v>2359</v>
      </c>
    </row>
    <row r="802" customHeight="1" spans="1:4">
      <c r="A802" s="43">
        <v>799</v>
      </c>
      <c r="B802" s="50" t="s">
        <v>2382</v>
      </c>
      <c r="C802" s="49" t="s">
        <v>2383</v>
      </c>
      <c r="D802" s="50" t="s">
        <v>2359</v>
      </c>
    </row>
    <row r="803" customHeight="1" spans="1:4">
      <c r="A803" s="43">
        <v>800</v>
      </c>
      <c r="B803" s="50" t="s">
        <v>2384</v>
      </c>
      <c r="C803" s="49" t="s">
        <v>2385</v>
      </c>
      <c r="D803" s="50" t="s">
        <v>2120</v>
      </c>
    </row>
    <row r="804" customHeight="1" spans="1:4">
      <c r="A804" s="43">
        <v>801</v>
      </c>
      <c r="B804" s="50" t="s">
        <v>2386</v>
      </c>
      <c r="C804" s="49" t="s">
        <v>2387</v>
      </c>
      <c r="D804" s="50" t="s">
        <v>2120</v>
      </c>
    </row>
    <row r="805" customHeight="1" spans="1:4">
      <c r="A805" s="43">
        <v>802</v>
      </c>
      <c r="B805" s="50" t="s">
        <v>2388</v>
      </c>
      <c r="C805" s="49" t="s">
        <v>2389</v>
      </c>
      <c r="D805" s="50" t="s">
        <v>2120</v>
      </c>
    </row>
    <row r="806" customHeight="1" spans="1:4">
      <c r="A806" s="43">
        <v>803</v>
      </c>
      <c r="B806" s="50" t="s">
        <v>2390</v>
      </c>
      <c r="C806" s="49" t="s">
        <v>2391</v>
      </c>
      <c r="D806" s="50" t="s">
        <v>2120</v>
      </c>
    </row>
    <row r="807" customHeight="1" spans="1:4">
      <c r="A807" s="43">
        <v>804</v>
      </c>
      <c r="B807" s="50" t="s">
        <v>2392</v>
      </c>
      <c r="C807" s="49" t="s">
        <v>2393</v>
      </c>
      <c r="D807" s="50" t="s">
        <v>2120</v>
      </c>
    </row>
    <row r="808" customHeight="1" spans="1:4">
      <c r="A808" s="43">
        <v>805</v>
      </c>
      <c r="B808" s="50" t="s">
        <v>2394</v>
      </c>
      <c r="C808" s="49" t="s">
        <v>2395</v>
      </c>
      <c r="D808" s="50" t="s">
        <v>2120</v>
      </c>
    </row>
    <row r="809" customHeight="1" spans="1:4">
      <c r="A809" s="43">
        <v>806</v>
      </c>
      <c r="B809" s="50" t="s">
        <v>2396</v>
      </c>
      <c r="C809" s="49" t="s">
        <v>2397</v>
      </c>
      <c r="D809" s="50" t="s">
        <v>2120</v>
      </c>
    </row>
    <row r="810" customHeight="1" spans="1:4">
      <c r="A810" s="43">
        <v>807</v>
      </c>
      <c r="B810" s="50" t="s">
        <v>2398</v>
      </c>
      <c r="C810" s="49" t="s">
        <v>2399</v>
      </c>
      <c r="D810" s="50" t="s">
        <v>2120</v>
      </c>
    </row>
    <row r="811" customHeight="1" spans="1:4">
      <c r="A811" s="43">
        <v>808</v>
      </c>
      <c r="B811" s="50" t="s">
        <v>2400</v>
      </c>
      <c r="C811" s="44" t="s">
        <v>2401</v>
      </c>
      <c r="D811" s="50" t="s">
        <v>2120</v>
      </c>
    </row>
    <row r="812" customHeight="1" spans="1:4">
      <c r="A812" s="43">
        <v>809</v>
      </c>
      <c r="B812" s="50" t="s">
        <v>2402</v>
      </c>
      <c r="C812" s="44" t="s">
        <v>2403</v>
      </c>
      <c r="D812" s="50" t="s">
        <v>2404</v>
      </c>
    </row>
    <row r="813" customHeight="1" spans="1:4">
      <c r="A813" s="43">
        <v>810</v>
      </c>
      <c r="B813" s="50" t="s">
        <v>2405</v>
      </c>
      <c r="C813" s="44" t="s">
        <v>2406</v>
      </c>
      <c r="D813" s="50" t="s">
        <v>2407</v>
      </c>
    </row>
    <row r="814" customHeight="1" spans="1:4">
      <c r="A814" s="43">
        <v>811</v>
      </c>
      <c r="B814" s="50" t="s">
        <v>2408</v>
      </c>
      <c r="C814" s="44" t="s">
        <v>2409</v>
      </c>
      <c r="D814" s="50" t="s">
        <v>2120</v>
      </c>
    </row>
    <row r="815" customHeight="1" spans="1:4">
      <c r="A815" s="43">
        <v>812</v>
      </c>
      <c r="B815" s="50" t="s">
        <v>2410</v>
      </c>
      <c r="C815" s="44" t="s">
        <v>2411</v>
      </c>
      <c r="D815" s="50" t="s">
        <v>2120</v>
      </c>
    </row>
    <row r="816" customHeight="1" spans="1:4">
      <c r="A816" s="43">
        <v>813</v>
      </c>
      <c r="B816" s="50" t="s">
        <v>2412</v>
      </c>
      <c r="C816" s="44" t="s">
        <v>2413</v>
      </c>
      <c r="D816" s="50" t="s">
        <v>2120</v>
      </c>
    </row>
    <row r="817" customHeight="1" spans="1:4">
      <c r="A817" s="43">
        <v>814</v>
      </c>
      <c r="B817" s="50" t="s">
        <v>2414</v>
      </c>
      <c r="C817" s="44" t="s">
        <v>2415</v>
      </c>
      <c r="D817" s="50" t="s">
        <v>2120</v>
      </c>
    </row>
    <row r="818" customHeight="1" spans="1:4">
      <c r="A818" s="43">
        <v>815</v>
      </c>
      <c r="B818" s="50" t="s">
        <v>2416</v>
      </c>
      <c r="C818" s="44" t="s">
        <v>2417</v>
      </c>
      <c r="D818" s="50" t="s">
        <v>21</v>
      </c>
    </row>
    <row r="819" customHeight="1" spans="1:4">
      <c r="A819" s="43">
        <v>816</v>
      </c>
      <c r="B819" s="50" t="s">
        <v>2418</v>
      </c>
      <c r="C819" s="44" t="s">
        <v>2419</v>
      </c>
      <c r="D819" s="50" t="s">
        <v>2420</v>
      </c>
    </row>
    <row r="820" customHeight="1" spans="1:4">
      <c r="A820" s="43">
        <v>817</v>
      </c>
      <c r="B820" s="50" t="s">
        <v>2421</v>
      </c>
      <c r="C820" s="44" t="s">
        <v>2422</v>
      </c>
      <c r="D820" s="50" t="s">
        <v>1972</v>
      </c>
    </row>
    <row r="821" customHeight="1" spans="1:4">
      <c r="A821" s="43">
        <v>818</v>
      </c>
      <c r="B821" s="50" t="s">
        <v>2423</v>
      </c>
      <c r="C821" s="44" t="s">
        <v>2424</v>
      </c>
      <c r="D821" s="50" t="s">
        <v>2425</v>
      </c>
    </row>
    <row r="822" customHeight="1" spans="1:4">
      <c r="A822" s="43">
        <v>819</v>
      </c>
      <c r="B822" s="50" t="s">
        <v>2426</v>
      </c>
      <c r="C822" s="44" t="s">
        <v>2427</v>
      </c>
      <c r="D822" s="50" t="s">
        <v>2428</v>
      </c>
    </row>
    <row r="823" customHeight="1" spans="1:4">
      <c r="A823" s="43">
        <v>820</v>
      </c>
      <c r="B823" s="50" t="s">
        <v>2429</v>
      </c>
      <c r="C823" s="49" t="s">
        <v>2430</v>
      </c>
      <c r="D823" s="50" t="s">
        <v>2120</v>
      </c>
    </row>
    <row r="824" customHeight="1" spans="1:4">
      <c r="A824" s="43">
        <v>821</v>
      </c>
      <c r="B824" s="50" t="s">
        <v>2431</v>
      </c>
      <c r="C824" s="49" t="s">
        <v>2432</v>
      </c>
      <c r="D824" s="50" t="s">
        <v>2120</v>
      </c>
    </row>
    <row r="825" customHeight="1" spans="1:4">
      <c r="A825" s="43">
        <v>822</v>
      </c>
      <c r="B825" s="50" t="s">
        <v>2433</v>
      </c>
      <c r="C825" s="49" t="s">
        <v>2434</v>
      </c>
      <c r="D825" s="50" t="s">
        <v>2120</v>
      </c>
    </row>
    <row r="826" customHeight="1" spans="1:4">
      <c r="A826" s="43">
        <v>823</v>
      </c>
      <c r="B826" s="50" t="s">
        <v>2435</v>
      </c>
      <c r="C826" s="49" t="s">
        <v>2436</v>
      </c>
      <c r="D826" s="50" t="s">
        <v>2120</v>
      </c>
    </row>
    <row r="827" customHeight="1" spans="1:4">
      <c r="A827" s="43">
        <v>824</v>
      </c>
      <c r="B827" s="50" t="s">
        <v>2277</v>
      </c>
      <c r="C827" s="49" t="s">
        <v>2278</v>
      </c>
      <c r="D827" s="50" t="s">
        <v>2279</v>
      </c>
    </row>
    <row r="828" customHeight="1" spans="1:4">
      <c r="A828" s="43">
        <v>825</v>
      </c>
      <c r="B828" s="50" t="s">
        <v>2437</v>
      </c>
      <c r="C828" s="49" t="s">
        <v>2438</v>
      </c>
      <c r="D828" s="50" t="s">
        <v>2439</v>
      </c>
    </row>
    <row r="829" customHeight="1" spans="1:4">
      <c r="A829" s="43">
        <v>826</v>
      </c>
      <c r="B829" s="50" t="s">
        <v>2440</v>
      </c>
      <c r="C829" s="49" t="s">
        <v>2441</v>
      </c>
      <c r="D829" s="50" t="s">
        <v>2439</v>
      </c>
    </row>
    <row r="830" customHeight="1" spans="1:4">
      <c r="A830" s="43">
        <v>827</v>
      </c>
      <c r="B830" s="50" t="s">
        <v>2442</v>
      </c>
      <c r="C830" s="49" t="s">
        <v>2443</v>
      </c>
      <c r="D830" s="50" t="s">
        <v>2439</v>
      </c>
    </row>
    <row r="831" customHeight="1" spans="1:4">
      <c r="A831" s="43">
        <v>828</v>
      </c>
      <c r="B831" s="50" t="s">
        <v>2444</v>
      </c>
      <c r="C831" s="49" t="s">
        <v>2445</v>
      </c>
      <c r="D831" s="50" t="s">
        <v>21</v>
      </c>
    </row>
    <row r="832" customHeight="1" spans="1:4">
      <c r="A832" s="43">
        <v>829</v>
      </c>
      <c r="B832" s="50" t="s">
        <v>2446</v>
      </c>
      <c r="C832" s="49" t="s">
        <v>2447</v>
      </c>
      <c r="D832" s="50" t="s">
        <v>2120</v>
      </c>
    </row>
    <row r="833" customHeight="1" spans="1:4">
      <c r="A833" s="43">
        <v>830</v>
      </c>
      <c r="B833" s="50" t="s">
        <v>2448</v>
      </c>
      <c r="C833" s="49" t="s">
        <v>2449</v>
      </c>
      <c r="D833" s="50" t="s">
        <v>2120</v>
      </c>
    </row>
    <row r="834" customHeight="1" spans="1:4">
      <c r="A834" s="43">
        <v>831</v>
      </c>
      <c r="B834" s="50" t="s">
        <v>2450</v>
      </c>
      <c r="C834" s="49" t="s">
        <v>2451</v>
      </c>
      <c r="D834" s="50" t="s">
        <v>2452</v>
      </c>
    </row>
    <row r="835" customHeight="1" spans="1:4">
      <c r="A835" s="43">
        <v>832</v>
      </c>
      <c r="B835" s="50" t="s">
        <v>2453</v>
      </c>
      <c r="C835" s="49" t="s">
        <v>2454</v>
      </c>
      <c r="D835" s="50" t="s">
        <v>2120</v>
      </c>
    </row>
    <row r="836" customHeight="1" spans="1:4">
      <c r="A836" s="43">
        <v>833</v>
      </c>
      <c r="B836" s="50" t="s">
        <v>2455</v>
      </c>
      <c r="C836" s="49" t="s">
        <v>2456</v>
      </c>
      <c r="D836" s="50" t="s">
        <v>2359</v>
      </c>
    </row>
    <row r="837" customHeight="1" spans="1:4">
      <c r="A837" s="43">
        <v>834</v>
      </c>
      <c r="B837" s="50" t="s">
        <v>2457</v>
      </c>
      <c r="C837" s="49" t="s">
        <v>2458</v>
      </c>
      <c r="D837" s="50" t="s">
        <v>21</v>
      </c>
    </row>
    <row r="838" customHeight="1" spans="1:4">
      <c r="A838" s="43">
        <v>835</v>
      </c>
      <c r="B838" s="50" t="s">
        <v>2459</v>
      </c>
      <c r="C838" s="49" t="s">
        <v>2460</v>
      </c>
      <c r="D838" s="50" t="s">
        <v>79</v>
      </c>
    </row>
    <row r="839" customHeight="1" spans="1:4">
      <c r="A839" s="43">
        <v>836</v>
      </c>
      <c r="B839" s="50" t="s">
        <v>2461</v>
      </c>
      <c r="C839" s="49" t="s">
        <v>2462</v>
      </c>
      <c r="D839" s="50" t="s">
        <v>1979</v>
      </c>
    </row>
    <row r="840" customHeight="1" spans="1:4">
      <c r="A840" s="43">
        <v>837</v>
      </c>
      <c r="B840" s="50" t="s">
        <v>2463</v>
      </c>
      <c r="C840" s="49" t="s">
        <v>2464</v>
      </c>
      <c r="D840" s="50" t="s">
        <v>21</v>
      </c>
    </row>
    <row r="841" customHeight="1" spans="1:4">
      <c r="A841" s="43">
        <v>838</v>
      </c>
      <c r="B841" s="50" t="s">
        <v>2465</v>
      </c>
      <c r="C841" s="49" t="s">
        <v>2466</v>
      </c>
      <c r="D841" s="50" t="s">
        <v>21</v>
      </c>
    </row>
    <row r="842" customHeight="1" spans="1:4">
      <c r="A842" s="43">
        <v>839</v>
      </c>
      <c r="B842" s="50" t="s">
        <v>2467</v>
      </c>
      <c r="C842" s="49" t="s">
        <v>2468</v>
      </c>
      <c r="D842" s="50" t="s">
        <v>21</v>
      </c>
    </row>
    <row r="843" customHeight="1" spans="1:4">
      <c r="A843" s="43">
        <v>840</v>
      </c>
      <c r="B843" s="50" t="s">
        <v>2469</v>
      </c>
      <c r="C843" s="49" t="s">
        <v>2470</v>
      </c>
      <c r="D843" s="50" t="s">
        <v>2120</v>
      </c>
    </row>
    <row r="844" customHeight="1" spans="1:4">
      <c r="A844" s="43">
        <v>841</v>
      </c>
      <c r="B844" s="50" t="s">
        <v>2471</v>
      </c>
      <c r="C844" s="49" t="s">
        <v>2472</v>
      </c>
      <c r="D844" s="50" t="s">
        <v>2120</v>
      </c>
    </row>
    <row r="845" customHeight="1" spans="1:4">
      <c r="A845" s="43">
        <v>842</v>
      </c>
      <c r="B845" s="50" t="s">
        <v>2473</v>
      </c>
      <c r="C845" s="49" t="s">
        <v>2474</v>
      </c>
      <c r="D845" s="50" t="s">
        <v>2120</v>
      </c>
    </row>
    <row r="846" customHeight="1" spans="1:4">
      <c r="A846" s="43">
        <v>843</v>
      </c>
      <c r="B846" s="50" t="s">
        <v>2475</v>
      </c>
      <c r="C846" s="49" t="s">
        <v>2476</v>
      </c>
      <c r="D846" s="50" t="s">
        <v>2120</v>
      </c>
    </row>
    <row r="847" customHeight="1" spans="1:4">
      <c r="A847" s="43">
        <v>844</v>
      </c>
      <c r="B847" s="50" t="s">
        <v>2477</v>
      </c>
      <c r="C847" s="49" t="s">
        <v>2478</v>
      </c>
      <c r="D847" s="50" t="s">
        <v>21</v>
      </c>
    </row>
    <row r="848" customHeight="1" spans="1:4">
      <c r="A848" s="43">
        <v>845</v>
      </c>
      <c r="B848" s="50" t="s">
        <v>2479</v>
      </c>
      <c r="C848" s="49" t="s">
        <v>2480</v>
      </c>
      <c r="D848" s="50" t="s">
        <v>2120</v>
      </c>
    </row>
    <row r="849" customHeight="1" spans="1:4">
      <c r="A849" s="43">
        <v>846</v>
      </c>
      <c r="B849" s="50" t="s">
        <v>2481</v>
      </c>
      <c r="C849" s="49" t="s">
        <v>2482</v>
      </c>
      <c r="D849" s="50" t="s">
        <v>21</v>
      </c>
    </row>
    <row r="850" customHeight="1" spans="1:4">
      <c r="A850" s="43">
        <v>847</v>
      </c>
      <c r="B850" s="50" t="s">
        <v>2483</v>
      </c>
      <c r="C850" s="49" t="s">
        <v>2484</v>
      </c>
      <c r="D850" s="50" t="s">
        <v>2120</v>
      </c>
    </row>
    <row r="851" customHeight="1" spans="1:4">
      <c r="A851" s="43">
        <v>848</v>
      </c>
      <c r="B851" s="50" t="s">
        <v>2485</v>
      </c>
      <c r="C851" s="49" t="s">
        <v>2486</v>
      </c>
      <c r="D851" s="50" t="s">
        <v>2120</v>
      </c>
    </row>
    <row r="852" customHeight="1" spans="1:4">
      <c r="A852" s="43">
        <v>849</v>
      </c>
      <c r="B852" s="50" t="s">
        <v>2487</v>
      </c>
      <c r="C852" s="49" t="s">
        <v>2488</v>
      </c>
      <c r="D852" s="50" t="s">
        <v>2120</v>
      </c>
    </row>
    <row r="853" customHeight="1" spans="1:4">
      <c r="A853" s="43">
        <v>850</v>
      </c>
      <c r="B853" s="50" t="s">
        <v>2489</v>
      </c>
      <c r="C853" s="49" t="s">
        <v>2490</v>
      </c>
      <c r="D853" s="50" t="s">
        <v>2120</v>
      </c>
    </row>
    <row r="854" customHeight="1" spans="1:4">
      <c r="A854" s="43">
        <v>851</v>
      </c>
      <c r="B854" s="50" t="s">
        <v>2491</v>
      </c>
      <c r="C854" s="49" t="s">
        <v>2492</v>
      </c>
      <c r="D854" s="50" t="s">
        <v>2120</v>
      </c>
    </row>
    <row r="855" customHeight="1" spans="1:4">
      <c r="A855" s="43">
        <v>852</v>
      </c>
      <c r="B855" s="50" t="s">
        <v>2493</v>
      </c>
      <c r="C855" s="49" t="s">
        <v>2494</v>
      </c>
      <c r="D855" s="50" t="s">
        <v>2120</v>
      </c>
    </row>
    <row r="856" customHeight="1" spans="1:4">
      <c r="A856" s="43">
        <v>853</v>
      </c>
      <c r="B856" s="50" t="s">
        <v>2495</v>
      </c>
      <c r="C856" s="49" t="s">
        <v>2496</v>
      </c>
      <c r="D856" s="50" t="s">
        <v>2120</v>
      </c>
    </row>
    <row r="857" customHeight="1" spans="1:4">
      <c r="A857" s="43">
        <v>854</v>
      </c>
      <c r="B857" s="50" t="s">
        <v>2497</v>
      </c>
      <c r="C857" s="49" t="s">
        <v>2498</v>
      </c>
      <c r="D857" s="50" t="s">
        <v>2120</v>
      </c>
    </row>
    <row r="858" customHeight="1" spans="1:4">
      <c r="A858" s="43">
        <v>855</v>
      </c>
      <c r="B858" s="50" t="s">
        <v>2499</v>
      </c>
      <c r="C858" s="49" t="s">
        <v>2500</v>
      </c>
      <c r="D858" s="50" t="s">
        <v>2120</v>
      </c>
    </row>
    <row r="859" customHeight="1" spans="1:4">
      <c r="A859" s="43">
        <v>856</v>
      </c>
      <c r="B859" s="50" t="s">
        <v>2501</v>
      </c>
      <c r="C859" s="49" t="s">
        <v>2502</v>
      </c>
      <c r="D859" s="50" t="s">
        <v>2120</v>
      </c>
    </row>
    <row r="860" customHeight="1" spans="1:4">
      <c r="A860" s="43">
        <v>857</v>
      </c>
      <c r="B860" s="50" t="s">
        <v>2503</v>
      </c>
      <c r="C860" s="49" t="s">
        <v>2504</v>
      </c>
      <c r="D860" s="50" t="s">
        <v>2120</v>
      </c>
    </row>
    <row r="861" customHeight="1" spans="1:4">
      <c r="A861" s="43">
        <v>858</v>
      </c>
      <c r="B861" s="50" t="s">
        <v>2505</v>
      </c>
      <c r="C861" s="49" t="s">
        <v>2506</v>
      </c>
      <c r="D861" s="50" t="s">
        <v>2120</v>
      </c>
    </row>
    <row r="862" customHeight="1" spans="1:4">
      <c r="A862" s="43">
        <v>859</v>
      </c>
      <c r="B862" s="50" t="s">
        <v>2507</v>
      </c>
      <c r="C862" s="49" t="s">
        <v>2508</v>
      </c>
      <c r="D862" s="43" t="s">
        <v>21</v>
      </c>
    </row>
    <row r="863" customHeight="1" spans="1:4">
      <c r="A863" s="43">
        <v>860</v>
      </c>
      <c r="B863" s="50" t="s">
        <v>2509</v>
      </c>
      <c r="C863" s="49" t="s">
        <v>2510</v>
      </c>
      <c r="D863" s="43" t="s">
        <v>21</v>
      </c>
    </row>
    <row r="864" customHeight="1" spans="1:4">
      <c r="A864" s="43">
        <v>861</v>
      </c>
      <c r="B864" s="50" t="s">
        <v>2511</v>
      </c>
      <c r="C864" s="49" t="s">
        <v>2512</v>
      </c>
      <c r="D864" s="43" t="s">
        <v>21</v>
      </c>
    </row>
    <row r="865" customHeight="1" spans="1:4">
      <c r="A865" s="43">
        <v>862</v>
      </c>
      <c r="B865" s="50" t="s">
        <v>2513</v>
      </c>
      <c r="C865" s="49" t="s">
        <v>2514</v>
      </c>
      <c r="D865" s="43" t="s">
        <v>21</v>
      </c>
    </row>
    <row r="866" customHeight="1" spans="1:4">
      <c r="A866" s="43">
        <v>863</v>
      </c>
      <c r="B866" s="50" t="s">
        <v>2515</v>
      </c>
      <c r="C866" s="49" t="s">
        <v>2516</v>
      </c>
      <c r="D866" s="43" t="s">
        <v>21</v>
      </c>
    </row>
    <row r="867" customHeight="1" spans="1:4">
      <c r="A867" s="43">
        <v>864</v>
      </c>
      <c r="B867" s="50" t="s">
        <v>2517</v>
      </c>
      <c r="C867" s="49" t="s">
        <v>2518</v>
      </c>
      <c r="D867" s="43" t="s">
        <v>21</v>
      </c>
    </row>
    <row r="868" customHeight="1" spans="1:4">
      <c r="A868" s="43">
        <v>865</v>
      </c>
      <c r="B868" s="50" t="s">
        <v>2519</v>
      </c>
      <c r="C868" s="49" t="s">
        <v>2520</v>
      </c>
      <c r="D868" s="43" t="s">
        <v>21</v>
      </c>
    </row>
    <row r="869" customHeight="1" spans="1:4">
      <c r="A869" s="43">
        <v>866</v>
      </c>
      <c r="B869" s="50" t="s">
        <v>2521</v>
      </c>
      <c r="C869" s="49" t="s">
        <v>2522</v>
      </c>
      <c r="D869" s="43" t="s">
        <v>21</v>
      </c>
    </row>
    <row r="870" customHeight="1" spans="1:4">
      <c r="A870" s="43">
        <v>867</v>
      </c>
      <c r="B870" s="50" t="s">
        <v>2523</v>
      </c>
      <c r="C870" s="49" t="s">
        <v>2524</v>
      </c>
      <c r="D870" s="43" t="s">
        <v>21</v>
      </c>
    </row>
    <row r="871" customHeight="1" spans="1:4">
      <c r="A871" s="43">
        <v>868</v>
      </c>
      <c r="B871" s="50" t="s">
        <v>2525</v>
      </c>
      <c r="C871" s="49" t="s">
        <v>2526</v>
      </c>
      <c r="D871" s="50" t="s">
        <v>2527</v>
      </c>
    </row>
    <row r="872" customHeight="1" spans="1:4">
      <c r="A872" s="43">
        <v>869</v>
      </c>
      <c r="B872" s="50" t="s">
        <v>2528</v>
      </c>
      <c r="C872" s="49" t="s">
        <v>2529</v>
      </c>
      <c r="D872" s="50" t="s">
        <v>2527</v>
      </c>
    </row>
    <row r="873" customHeight="1" spans="1:4">
      <c r="A873" s="43">
        <v>870</v>
      </c>
      <c r="B873" s="50" t="s">
        <v>2530</v>
      </c>
      <c r="C873" s="49" t="s">
        <v>2531</v>
      </c>
      <c r="D873" s="50" t="s">
        <v>2527</v>
      </c>
    </row>
    <row r="874" customHeight="1" spans="1:4">
      <c r="A874" s="43">
        <v>871</v>
      </c>
      <c r="B874" s="50" t="s">
        <v>2532</v>
      </c>
      <c r="C874" s="49" t="s">
        <v>2533</v>
      </c>
      <c r="D874" s="50" t="s">
        <v>2527</v>
      </c>
    </row>
    <row r="875" customHeight="1" spans="1:4">
      <c r="A875" s="43">
        <v>872</v>
      </c>
      <c r="B875" s="50" t="s">
        <v>2534</v>
      </c>
      <c r="C875" s="49" t="s">
        <v>2535</v>
      </c>
      <c r="D875" s="50" t="s">
        <v>2527</v>
      </c>
    </row>
    <row r="876" customHeight="1" spans="1:4">
      <c r="A876" s="43">
        <v>873</v>
      </c>
      <c r="B876" s="50" t="s">
        <v>2536</v>
      </c>
      <c r="C876" s="49" t="s">
        <v>2537</v>
      </c>
      <c r="D876" s="50" t="s">
        <v>2527</v>
      </c>
    </row>
    <row r="877" customHeight="1" spans="1:4">
      <c r="A877" s="43">
        <v>874</v>
      </c>
      <c r="B877" s="50" t="s">
        <v>2538</v>
      </c>
      <c r="C877" s="49" t="s">
        <v>2539</v>
      </c>
      <c r="D877" s="50" t="s">
        <v>2527</v>
      </c>
    </row>
    <row r="878" customHeight="1" spans="1:4">
      <c r="A878" s="43">
        <v>875</v>
      </c>
      <c r="B878" s="50" t="s">
        <v>2540</v>
      </c>
      <c r="C878" s="49" t="s">
        <v>2541</v>
      </c>
      <c r="D878" s="43" t="s">
        <v>21</v>
      </c>
    </row>
    <row r="879" customHeight="1" spans="1:4">
      <c r="A879" s="43">
        <v>876</v>
      </c>
      <c r="B879" s="51" t="s">
        <v>2542</v>
      </c>
      <c r="C879" s="52" t="s">
        <v>2543</v>
      </c>
      <c r="D879" s="53" t="s">
        <v>21</v>
      </c>
    </row>
    <row r="880" customHeight="1" spans="1:4">
      <c r="A880" s="43">
        <v>877</v>
      </c>
      <c r="B880" s="51" t="s">
        <v>2544</v>
      </c>
      <c r="C880" s="52" t="s">
        <v>2545</v>
      </c>
      <c r="D880" s="53" t="s">
        <v>21</v>
      </c>
    </row>
    <row r="881" customHeight="1" spans="1:4">
      <c r="A881" s="43">
        <v>878</v>
      </c>
      <c r="B881" s="51" t="s">
        <v>2546</v>
      </c>
      <c r="C881" s="52" t="s">
        <v>2547</v>
      </c>
      <c r="D881" s="53" t="s">
        <v>21</v>
      </c>
    </row>
    <row r="882" customHeight="1" spans="1:4">
      <c r="A882" s="43">
        <v>879</v>
      </c>
      <c r="B882" s="51" t="s">
        <v>2548</v>
      </c>
      <c r="C882" s="52" t="s">
        <v>2549</v>
      </c>
      <c r="D882" s="53" t="s">
        <v>21</v>
      </c>
    </row>
    <row r="883" customHeight="1" spans="1:4">
      <c r="A883" s="43">
        <v>880</v>
      </c>
      <c r="B883" s="51" t="s">
        <v>2550</v>
      </c>
      <c r="C883" s="52" t="s">
        <v>2551</v>
      </c>
      <c r="D883" s="53" t="s">
        <v>21</v>
      </c>
    </row>
    <row r="884" customHeight="1" spans="1:4">
      <c r="A884" s="43">
        <v>881</v>
      </c>
      <c r="B884" s="51" t="s">
        <v>2552</v>
      </c>
      <c r="C884" s="52" t="s">
        <v>2553</v>
      </c>
      <c r="D884" s="53" t="s">
        <v>21</v>
      </c>
    </row>
    <row r="885" customHeight="1" spans="1:4">
      <c r="A885" s="43">
        <v>882</v>
      </c>
      <c r="B885" s="51" t="s">
        <v>2554</v>
      </c>
      <c r="C885" s="52" t="s">
        <v>2555</v>
      </c>
      <c r="D885" s="53" t="s">
        <v>21</v>
      </c>
    </row>
    <row r="886" customHeight="1" spans="1:4">
      <c r="A886" s="43">
        <v>883</v>
      </c>
      <c r="B886" s="51" t="s">
        <v>2556</v>
      </c>
      <c r="C886" s="52" t="s">
        <v>2557</v>
      </c>
      <c r="D886" s="53" t="s">
        <v>21</v>
      </c>
    </row>
    <row r="887" customHeight="1" spans="1:4">
      <c r="A887" s="43">
        <v>884</v>
      </c>
      <c r="B887" s="51" t="s">
        <v>2558</v>
      </c>
      <c r="C887" s="52" t="s">
        <v>2559</v>
      </c>
      <c r="D887" s="53" t="s">
        <v>21</v>
      </c>
    </row>
    <row r="888" customHeight="1" spans="1:4">
      <c r="A888" s="43">
        <v>885</v>
      </c>
      <c r="B888" s="51" t="s">
        <v>2560</v>
      </c>
      <c r="C888" s="52" t="s">
        <v>2561</v>
      </c>
      <c r="D888" s="53" t="s">
        <v>21</v>
      </c>
    </row>
    <row r="889" customHeight="1" spans="1:4">
      <c r="A889" s="43">
        <v>886</v>
      </c>
      <c r="B889" s="51" t="s">
        <v>2562</v>
      </c>
      <c r="C889" s="52" t="s">
        <v>2563</v>
      </c>
      <c r="D889" s="53" t="s">
        <v>21</v>
      </c>
    </row>
    <row r="890" customHeight="1" spans="1:4">
      <c r="A890" s="43">
        <v>887</v>
      </c>
      <c r="B890" s="51" t="s">
        <v>2564</v>
      </c>
      <c r="C890" s="52" t="s">
        <v>2565</v>
      </c>
      <c r="D890" s="53" t="s">
        <v>21</v>
      </c>
    </row>
    <row r="891" customHeight="1" spans="1:4">
      <c r="A891" s="43">
        <v>888</v>
      </c>
      <c r="B891" s="51" t="s">
        <v>2566</v>
      </c>
      <c r="C891" s="52" t="s">
        <v>2567</v>
      </c>
      <c r="D891" s="53" t="s">
        <v>21</v>
      </c>
    </row>
    <row r="892" customHeight="1" spans="1:4">
      <c r="A892" s="43">
        <v>889</v>
      </c>
      <c r="B892" s="51" t="s">
        <v>2568</v>
      </c>
      <c r="C892" s="52" t="s">
        <v>2569</v>
      </c>
      <c r="D892" s="53" t="s">
        <v>21</v>
      </c>
    </row>
    <row r="893" customHeight="1" spans="1:4">
      <c r="A893" s="43">
        <v>890</v>
      </c>
      <c r="B893" s="51" t="s">
        <v>2570</v>
      </c>
      <c r="C893" s="52" t="s">
        <v>2571</v>
      </c>
      <c r="D893" s="53" t="s">
        <v>21</v>
      </c>
    </row>
    <row r="894" customHeight="1" spans="1:4">
      <c r="A894" s="43">
        <v>891</v>
      </c>
      <c r="B894" s="51" t="s">
        <v>2572</v>
      </c>
      <c r="C894" s="52" t="s">
        <v>2573</v>
      </c>
      <c r="D894" s="53" t="s">
        <v>21</v>
      </c>
    </row>
    <row r="895" customHeight="1" spans="1:4">
      <c r="A895" s="43">
        <v>892</v>
      </c>
      <c r="B895" s="51" t="s">
        <v>2574</v>
      </c>
      <c r="C895" s="52" t="s">
        <v>2575</v>
      </c>
      <c r="D895" s="53" t="s">
        <v>21</v>
      </c>
    </row>
    <row r="896" customHeight="1" spans="1:4">
      <c r="A896" s="43">
        <v>893</v>
      </c>
      <c r="B896" s="50" t="s">
        <v>2576</v>
      </c>
      <c r="C896" s="49" t="s">
        <v>2577</v>
      </c>
      <c r="D896" s="50" t="s">
        <v>21</v>
      </c>
    </row>
    <row r="897" customHeight="1" spans="1:4">
      <c r="A897" s="43">
        <v>894</v>
      </c>
      <c r="B897" s="51" t="s">
        <v>2578</v>
      </c>
      <c r="C897" s="52" t="s">
        <v>2579</v>
      </c>
      <c r="D897" s="53" t="s">
        <v>21</v>
      </c>
    </row>
    <row r="898" customHeight="1" spans="1:4">
      <c r="A898" s="43">
        <v>895</v>
      </c>
      <c r="B898" s="51" t="s">
        <v>2580</v>
      </c>
      <c r="C898" s="52" t="s">
        <v>2581</v>
      </c>
      <c r="D898" s="53" t="s">
        <v>21</v>
      </c>
    </row>
    <row r="899" customHeight="1" spans="1:4">
      <c r="A899" s="43">
        <v>896</v>
      </c>
      <c r="B899" s="51" t="s">
        <v>2582</v>
      </c>
      <c r="C899" s="52" t="s">
        <v>2583</v>
      </c>
      <c r="D899" s="53" t="s">
        <v>21</v>
      </c>
    </row>
    <row r="900" customHeight="1" spans="1:4">
      <c r="A900" s="43">
        <v>897</v>
      </c>
      <c r="B900" s="51" t="s">
        <v>2584</v>
      </c>
      <c r="C900" s="52" t="s">
        <v>2585</v>
      </c>
      <c r="D900" s="53" t="s">
        <v>21</v>
      </c>
    </row>
    <row r="901" customHeight="1" spans="1:4">
      <c r="A901" s="43">
        <v>898</v>
      </c>
      <c r="B901" s="51" t="s">
        <v>2586</v>
      </c>
      <c r="C901" s="52" t="s">
        <v>2587</v>
      </c>
      <c r="D901" s="53" t="s">
        <v>21</v>
      </c>
    </row>
    <row r="902" customHeight="1" spans="1:4">
      <c r="A902" s="43">
        <v>899</v>
      </c>
      <c r="B902" s="51" t="s">
        <v>2588</v>
      </c>
      <c r="C902" s="52" t="s">
        <v>2589</v>
      </c>
      <c r="D902" s="53" t="s">
        <v>21</v>
      </c>
    </row>
    <row r="903" customHeight="1" spans="1:4">
      <c r="A903" s="43">
        <v>900</v>
      </c>
      <c r="B903" s="51" t="s">
        <v>2590</v>
      </c>
      <c r="C903" s="52" t="s">
        <v>2591</v>
      </c>
      <c r="D903" s="53" t="s">
        <v>21</v>
      </c>
    </row>
    <row r="904" customHeight="1" spans="1:4">
      <c r="A904" s="43">
        <v>901</v>
      </c>
      <c r="B904" s="51" t="s">
        <v>2592</v>
      </c>
      <c r="C904" s="52" t="s">
        <v>2593</v>
      </c>
      <c r="D904" s="53" t="s">
        <v>21</v>
      </c>
    </row>
    <row r="905" customHeight="1" spans="1:4">
      <c r="A905" s="43">
        <v>902</v>
      </c>
      <c r="B905" s="51" t="s">
        <v>2594</v>
      </c>
      <c r="C905" s="52" t="s">
        <v>2595</v>
      </c>
      <c r="D905" s="53" t="s">
        <v>21</v>
      </c>
    </row>
    <row r="906" customHeight="1" spans="1:4">
      <c r="A906" s="43">
        <v>903</v>
      </c>
      <c r="B906" s="51" t="s">
        <v>2596</v>
      </c>
      <c r="C906" s="52" t="s">
        <v>2597</v>
      </c>
      <c r="D906" s="53" t="s">
        <v>21</v>
      </c>
    </row>
    <row r="907" customHeight="1" spans="1:4">
      <c r="A907" s="43">
        <v>904</v>
      </c>
      <c r="B907" s="51" t="s">
        <v>2598</v>
      </c>
      <c r="C907" s="52" t="s">
        <v>2599</v>
      </c>
      <c r="D907" s="53" t="s">
        <v>21</v>
      </c>
    </row>
    <row r="908" customHeight="1" spans="1:4">
      <c r="A908" s="43">
        <v>905</v>
      </c>
      <c r="B908" s="51" t="s">
        <v>2600</v>
      </c>
      <c r="C908" s="52" t="s">
        <v>2601</v>
      </c>
      <c r="D908" s="53" t="s">
        <v>21</v>
      </c>
    </row>
    <row r="909" customHeight="1" spans="1:4">
      <c r="A909" s="43">
        <v>906</v>
      </c>
      <c r="B909" s="51" t="s">
        <v>2602</v>
      </c>
      <c r="C909" s="52" t="s">
        <v>2603</v>
      </c>
      <c r="D909" s="53" t="s">
        <v>21</v>
      </c>
    </row>
    <row r="910" customHeight="1" spans="1:4">
      <c r="A910" s="43">
        <v>907</v>
      </c>
      <c r="B910" s="51" t="s">
        <v>2604</v>
      </c>
      <c r="C910" s="52" t="s">
        <v>2605</v>
      </c>
      <c r="D910" s="53" t="s">
        <v>21</v>
      </c>
    </row>
    <row r="911" customHeight="1" spans="1:4">
      <c r="A911" s="43">
        <v>908</v>
      </c>
      <c r="B911" s="51" t="s">
        <v>2606</v>
      </c>
      <c r="C911" s="52" t="s">
        <v>2607</v>
      </c>
      <c r="D911" s="53" t="s">
        <v>21</v>
      </c>
    </row>
    <row r="912" customHeight="1" spans="1:4">
      <c r="A912" s="43">
        <v>909</v>
      </c>
      <c r="B912" s="51" t="s">
        <v>2608</v>
      </c>
      <c r="C912" s="52" t="s">
        <v>2609</v>
      </c>
      <c r="D912" s="53" t="s">
        <v>21</v>
      </c>
    </row>
    <row r="913" customHeight="1" spans="1:4">
      <c r="A913" s="43">
        <v>910</v>
      </c>
      <c r="B913" s="51" t="s">
        <v>2610</v>
      </c>
      <c r="C913" s="52" t="s">
        <v>2611</v>
      </c>
      <c r="D913" s="53" t="s">
        <v>21</v>
      </c>
    </row>
    <row r="914" customHeight="1" spans="1:4">
      <c r="A914" s="43">
        <v>911</v>
      </c>
      <c r="B914" s="51" t="s">
        <v>2612</v>
      </c>
      <c r="C914" s="52" t="s">
        <v>2613</v>
      </c>
      <c r="D914" s="53" t="s">
        <v>21</v>
      </c>
    </row>
    <row r="915" customHeight="1" spans="1:4">
      <c r="A915" s="43">
        <v>912</v>
      </c>
      <c r="B915" s="51" t="s">
        <v>2614</v>
      </c>
      <c r="C915" s="52" t="s">
        <v>2615</v>
      </c>
      <c r="D915" s="53" t="s">
        <v>21</v>
      </c>
    </row>
    <row r="916" customHeight="1" spans="1:4">
      <c r="A916" s="43">
        <v>913</v>
      </c>
      <c r="B916" s="51" t="s">
        <v>2616</v>
      </c>
      <c r="C916" s="52" t="s">
        <v>2617</v>
      </c>
      <c r="D916" s="53" t="s">
        <v>21</v>
      </c>
    </row>
    <row r="917" customHeight="1" spans="1:4">
      <c r="A917" s="43">
        <v>914</v>
      </c>
      <c r="B917" s="51" t="s">
        <v>2618</v>
      </c>
      <c r="C917" s="52" t="s">
        <v>2619</v>
      </c>
      <c r="D917" s="53" t="s">
        <v>21</v>
      </c>
    </row>
    <row r="918" customHeight="1" spans="1:4">
      <c r="A918" s="43">
        <v>915</v>
      </c>
      <c r="B918" s="51" t="s">
        <v>2620</v>
      </c>
      <c r="C918" s="52" t="s">
        <v>2621</v>
      </c>
      <c r="D918" s="53" t="s">
        <v>21</v>
      </c>
    </row>
    <row r="919" customHeight="1" spans="1:4">
      <c r="A919" s="43">
        <v>916</v>
      </c>
      <c r="B919" s="51" t="s">
        <v>2622</v>
      </c>
      <c r="C919" s="52" t="s">
        <v>2623</v>
      </c>
      <c r="D919" s="53" t="s">
        <v>21</v>
      </c>
    </row>
    <row r="920" customHeight="1" spans="1:4">
      <c r="A920" s="43">
        <v>917</v>
      </c>
      <c r="B920" s="51" t="s">
        <v>2624</v>
      </c>
      <c r="C920" s="52" t="s">
        <v>2625</v>
      </c>
      <c r="D920" s="53" t="s">
        <v>21</v>
      </c>
    </row>
    <row r="921" customHeight="1" spans="1:4">
      <c r="A921" s="43">
        <v>918</v>
      </c>
      <c r="B921" s="51" t="s">
        <v>2626</v>
      </c>
      <c r="C921" s="52" t="s">
        <v>2627</v>
      </c>
      <c r="D921" s="53" t="s">
        <v>21</v>
      </c>
    </row>
    <row r="922" customHeight="1" spans="1:4">
      <c r="A922" s="43">
        <v>919</v>
      </c>
      <c r="B922" s="51" t="s">
        <v>2628</v>
      </c>
      <c r="C922" s="52" t="s">
        <v>2629</v>
      </c>
      <c r="D922" s="53" t="s">
        <v>21</v>
      </c>
    </row>
    <row r="923" customHeight="1" spans="1:4">
      <c r="A923" s="43">
        <v>920</v>
      </c>
      <c r="B923" s="51" t="s">
        <v>2630</v>
      </c>
      <c r="C923" s="52" t="s">
        <v>2629</v>
      </c>
      <c r="D923" s="53" t="s">
        <v>21</v>
      </c>
    </row>
    <row r="924" customHeight="1" spans="1:4">
      <c r="A924" s="43">
        <v>921</v>
      </c>
      <c r="B924" s="51" t="s">
        <v>2631</v>
      </c>
      <c r="C924" s="52" t="s">
        <v>2632</v>
      </c>
      <c r="D924" s="53" t="s">
        <v>21</v>
      </c>
    </row>
    <row r="925" customHeight="1" spans="1:4">
      <c r="A925" s="43">
        <v>922</v>
      </c>
      <c r="B925" s="51" t="s">
        <v>2633</v>
      </c>
      <c r="C925" s="52" t="s">
        <v>2634</v>
      </c>
      <c r="D925" s="53" t="s">
        <v>21</v>
      </c>
    </row>
    <row r="926" customHeight="1" spans="1:4">
      <c r="A926" s="43">
        <v>923</v>
      </c>
      <c r="B926" s="51" t="s">
        <v>2635</v>
      </c>
      <c r="C926" s="52" t="s">
        <v>2636</v>
      </c>
      <c r="D926" s="53" t="s">
        <v>21</v>
      </c>
    </row>
    <row r="927" customHeight="1" spans="1:4">
      <c r="A927" s="43">
        <v>924</v>
      </c>
      <c r="B927" s="51" t="s">
        <v>2637</v>
      </c>
      <c r="C927" s="52" t="s">
        <v>2638</v>
      </c>
      <c r="D927" s="53" t="s">
        <v>21</v>
      </c>
    </row>
    <row r="928" customHeight="1" spans="1:4">
      <c r="A928" s="43">
        <v>925</v>
      </c>
      <c r="B928" s="51" t="s">
        <v>2639</v>
      </c>
      <c r="C928" s="52" t="s">
        <v>2640</v>
      </c>
      <c r="D928" s="53" t="s">
        <v>21</v>
      </c>
    </row>
    <row r="929" customHeight="1" spans="1:4">
      <c r="A929" s="43">
        <v>926</v>
      </c>
      <c r="B929" s="51" t="s">
        <v>2641</v>
      </c>
      <c r="C929" s="52" t="s">
        <v>2642</v>
      </c>
      <c r="D929" s="53" t="s">
        <v>21</v>
      </c>
    </row>
    <row r="930" customHeight="1" spans="1:4">
      <c r="A930" s="43">
        <v>927</v>
      </c>
      <c r="B930" s="51" t="s">
        <v>2643</v>
      </c>
      <c r="C930" s="52" t="s">
        <v>2644</v>
      </c>
      <c r="D930" s="53" t="s">
        <v>21</v>
      </c>
    </row>
    <row r="931" customHeight="1" spans="1:4">
      <c r="A931" s="43">
        <v>928</v>
      </c>
      <c r="B931" s="50" t="s">
        <v>959</v>
      </c>
      <c r="C931" s="49" t="s">
        <v>960</v>
      </c>
      <c r="D931" s="50" t="s">
        <v>21</v>
      </c>
    </row>
    <row r="932" customHeight="1" spans="1:4">
      <c r="A932" s="43">
        <v>929</v>
      </c>
      <c r="B932" s="50" t="s">
        <v>961</v>
      </c>
      <c r="C932" s="49" t="s">
        <v>962</v>
      </c>
      <c r="D932" s="50" t="s">
        <v>21</v>
      </c>
    </row>
    <row r="933" customHeight="1" spans="1:4">
      <c r="A933" s="43">
        <v>930</v>
      </c>
      <c r="B933" s="50" t="s">
        <v>963</v>
      </c>
      <c r="C933" s="49" t="s">
        <v>964</v>
      </c>
      <c r="D933" s="50" t="s">
        <v>21</v>
      </c>
    </row>
    <row r="934" customHeight="1" spans="1:4">
      <c r="A934" s="43">
        <v>931</v>
      </c>
      <c r="B934" s="50" t="s">
        <v>2645</v>
      </c>
      <c r="C934" s="49" t="s">
        <v>2646</v>
      </c>
      <c r="D934" s="50" t="s">
        <v>21</v>
      </c>
    </row>
    <row r="935" customHeight="1" spans="1:4">
      <c r="A935" s="43">
        <v>932</v>
      </c>
      <c r="B935" s="50" t="s">
        <v>2647</v>
      </c>
      <c r="C935" s="49" t="s">
        <v>2648</v>
      </c>
      <c r="D935" s="50" t="s">
        <v>21</v>
      </c>
    </row>
    <row r="936" customHeight="1" spans="1:4">
      <c r="A936" s="43">
        <v>933</v>
      </c>
      <c r="B936" s="51" t="s">
        <v>2649</v>
      </c>
      <c r="C936" s="52" t="s">
        <v>2650</v>
      </c>
      <c r="D936" s="53" t="s">
        <v>21</v>
      </c>
    </row>
    <row r="937" customHeight="1" spans="1:4">
      <c r="A937" s="43">
        <v>934</v>
      </c>
      <c r="B937" s="51" t="s">
        <v>2651</v>
      </c>
      <c r="C937" s="52" t="s">
        <v>2652</v>
      </c>
      <c r="D937" s="53" t="s">
        <v>21</v>
      </c>
    </row>
    <row r="938" customHeight="1" spans="1:4">
      <c r="A938" s="43">
        <v>935</v>
      </c>
      <c r="B938" s="51" t="s">
        <v>2653</v>
      </c>
      <c r="C938" s="52" t="s">
        <v>2654</v>
      </c>
      <c r="D938" s="53" t="s">
        <v>21</v>
      </c>
    </row>
    <row r="939" customHeight="1" spans="1:4">
      <c r="A939" s="43">
        <v>936</v>
      </c>
      <c r="B939" s="64" t="s">
        <v>2655</v>
      </c>
      <c r="C939" s="70" t="s">
        <v>2656</v>
      </c>
      <c r="D939" s="64" t="s">
        <v>2657</v>
      </c>
    </row>
    <row r="940" customHeight="1" spans="1:4">
      <c r="A940" s="43">
        <v>937</v>
      </c>
      <c r="B940" s="64" t="s">
        <v>2658</v>
      </c>
      <c r="C940" s="70" t="s">
        <v>2659</v>
      </c>
      <c r="D940" s="64" t="s">
        <v>2657</v>
      </c>
    </row>
    <row r="941" customHeight="1" spans="1:4">
      <c r="A941" s="43">
        <v>938</v>
      </c>
      <c r="B941" s="51" t="s">
        <v>2660</v>
      </c>
      <c r="C941" s="61" t="s">
        <v>2661</v>
      </c>
      <c r="D941" s="69" t="s">
        <v>21</v>
      </c>
    </row>
    <row r="942" customHeight="1" spans="1:4">
      <c r="A942" s="43">
        <v>939</v>
      </c>
      <c r="B942" s="51" t="s">
        <v>2662</v>
      </c>
      <c r="C942" s="61" t="s">
        <v>2663</v>
      </c>
      <c r="D942" s="69" t="s">
        <v>21</v>
      </c>
    </row>
    <row r="943" customHeight="1" spans="1:4">
      <c r="A943" s="43">
        <v>940</v>
      </c>
      <c r="B943" s="51" t="s">
        <v>2664</v>
      </c>
      <c r="C943" s="52" t="s">
        <v>2665</v>
      </c>
      <c r="D943" s="53" t="s">
        <v>21</v>
      </c>
    </row>
    <row r="944" customHeight="1" spans="1:4">
      <c r="A944" s="43">
        <v>941</v>
      </c>
      <c r="B944" s="51" t="s">
        <v>2666</v>
      </c>
      <c r="C944" s="52" t="s">
        <v>2667</v>
      </c>
      <c r="D944" s="53" t="s">
        <v>21</v>
      </c>
    </row>
    <row r="945" customHeight="1" spans="1:4">
      <c r="A945" s="43">
        <v>942</v>
      </c>
      <c r="B945" s="51" t="s">
        <v>2668</v>
      </c>
      <c r="C945" s="52" t="s">
        <v>2669</v>
      </c>
      <c r="D945" s="53" t="s">
        <v>21</v>
      </c>
    </row>
    <row r="946" customHeight="1" spans="1:4">
      <c r="A946" s="43">
        <v>943</v>
      </c>
      <c r="B946" s="51" t="s">
        <v>2670</v>
      </c>
      <c r="C946" s="52" t="s">
        <v>2671</v>
      </c>
      <c r="D946" s="53" t="s">
        <v>21</v>
      </c>
    </row>
    <row r="947" customHeight="1" spans="1:4">
      <c r="A947" s="43">
        <v>944</v>
      </c>
      <c r="B947" s="51" t="s">
        <v>2672</v>
      </c>
      <c r="C947" s="52" t="s">
        <v>2673</v>
      </c>
      <c r="D947" s="53" t="s">
        <v>21</v>
      </c>
    </row>
    <row r="948" customHeight="1" spans="1:4">
      <c r="A948" s="43">
        <v>945</v>
      </c>
      <c r="B948" s="51" t="s">
        <v>2674</v>
      </c>
      <c r="C948" s="52" t="s">
        <v>2675</v>
      </c>
      <c r="D948" s="53" t="s">
        <v>21</v>
      </c>
    </row>
    <row r="949" customHeight="1" spans="1:4">
      <c r="A949" s="43">
        <v>946</v>
      </c>
      <c r="B949" s="51" t="s">
        <v>2676</v>
      </c>
      <c r="C949" s="52" t="s">
        <v>2677</v>
      </c>
      <c r="D949" s="53" t="s">
        <v>21</v>
      </c>
    </row>
    <row r="950" customHeight="1" spans="1:4">
      <c r="A950" s="43">
        <v>947</v>
      </c>
      <c r="B950" s="51" t="s">
        <v>2678</v>
      </c>
      <c r="C950" s="52" t="s">
        <v>2679</v>
      </c>
      <c r="D950" s="53" t="s">
        <v>21</v>
      </c>
    </row>
    <row r="951" customHeight="1" spans="1:4">
      <c r="A951" s="43">
        <v>948</v>
      </c>
      <c r="B951" s="51" t="s">
        <v>2680</v>
      </c>
      <c r="C951" s="52" t="s">
        <v>2681</v>
      </c>
      <c r="D951" s="53" t="s">
        <v>21</v>
      </c>
    </row>
    <row r="952" customHeight="1" spans="1:4">
      <c r="A952" s="43">
        <v>949</v>
      </c>
      <c r="B952" s="51" t="s">
        <v>2682</v>
      </c>
      <c r="C952" s="52" t="s">
        <v>2683</v>
      </c>
      <c r="D952" s="53" t="s">
        <v>21</v>
      </c>
    </row>
    <row r="953" customHeight="1" spans="1:4">
      <c r="A953" s="43">
        <v>950</v>
      </c>
      <c r="B953" s="51" t="s">
        <v>2684</v>
      </c>
      <c r="C953" s="52" t="s">
        <v>2685</v>
      </c>
      <c r="D953" s="53" t="s">
        <v>21</v>
      </c>
    </row>
    <row r="954" customHeight="1" spans="1:4">
      <c r="A954" s="43">
        <v>951</v>
      </c>
      <c r="B954" s="51" t="s">
        <v>2686</v>
      </c>
      <c r="C954" s="52" t="s">
        <v>2687</v>
      </c>
      <c r="D954" s="53" t="s">
        <v>21</v>
      </c>
    </row>
    <row r="955" customHeight="1" spans="1:4">
      <c r="A955" s="43">
        <v>952</v>
      </c>
      <c r="B955" s="51" t="s">
        <v>2688</v>
      </c>
      <c r="C955" s="52" t="s">
        <v>2689</v>
      </c>
      <c r="D955" s="53" t="s">
        <v>21</v>
      </c>
    </row>
    <row r="956" customHeight="1" spans="1:4">
      <c r="A956" s="43">
        <v>953</v>
      </c>
      <c r="B956" s="51" t="s">
        <v>2690</v>
      </c>
      <c r="C956" s="52" t="s">
        <v>2691</v>
      </c>
      <c r="D956" s="53" t="s">
        <v>21</v>
      </c>
    </row>
    <row r="957" customHeight="1" spans="1:4">
      <c r="A957" s="43">
        <v>954</v>
      </c>
      <c r="B957" s="51" t="s">
        <v>2692</v>
      </c>
      <c r="C957" s="52" t="s">
        <v>2693</v>
      </c>
      <c r="D957" s="53" t="s">
        <v>21</v>
      </c>
    </row>
    <row r="958" customHeight="1" spans="1:4">
      <c r="A958" s="43">
        <v>955</v>
      </c>
      <c r="B958" s="51" t="s">
        <v>2694</v>
      </c>
      <c r="C958" s="52" t="s">
        <v>2695</v>
      </c>
      <c r="D958" s="53" t="s">
        <v>21</v>
      </c>
    </row>
    <row r="959" customHeight="1" spans="1:4">
      <c r="A959" s="43">
        <v>956</v>
      </c>
      <c r="B959" s="51" t="s">
        <v>2696</v>
      </c>
      <c r="C959" s="52" t="s">
        <v>2697</v>
      </c>
      <c r="D959" s="53" t="s">
        <v>21</v>
      </c>
    </row>
    <row r="960" customHeight="1" spans="1:4">
      <c r="A960" s="43">
        <v>957</v>
      </c>
      <c r="B960" s="51" t="s">
        <v>2698</v>
      </c>
      <c r="C960" s="52" t="s">
        <v>2699</v>
      </c>
      <c r="D960" s="53" t="s">
        <v>21</v>
      </c>
    </row>
    <row r="961" customHeight="1" spans="1:4">
      <c r="A961" s="43">
        <v>958</v>
      </c>
      <c r="B961" s="51" t="s">
        <v>2700</v>
      </c>
      <c r="C961" s="52" t="s">
        <v>2701</v>
      </c>
      <c r="D961" s="53" t="s">
        <v>21</v>
      </c>
    </row>
    <row r="962" customHeight="1" spans="1:4">
      <c r="A962" s="43">
        <v>959</v>
      </c>
      <c r="B962" s="51" t="s">
        <v>2702</v>
      </c>
      <c r="C962" s="61" t="s">
        <v>2703</v>
      </c>
      <c r="D962" s="69" t="s">
        <v>21</v>
      </c>
    </row>
    <row r="963" customHeight="1" spans="1:4">
      <c r="A963" s="43">
        <v>960</v>
      </c>
      <c r="B963" s="51" t="s">
        <v>2704</v>
      </c>
      <c r="C963" s="61" t="s">
        <v>2705</v>
      </c>
      <c r="D963" s="69" t="s">
        <v>21</v>
      </c>
    </row>
    <row r="964" customHeight="1" spans="1:4">
      <c r="A964" s="43">
        <v>961</v>
      </c>
      <c r="B964" s="51" t="s">
        <v>2706</v>
      </c>
      <c r="C964" s="61" t="s">
        <v>2707</v>
      </c>
      <c r="D964" s="69" t="s">
        <v>21</v>
      </c>
    </row>
    <row r="965" customHeight="1" spans="1:4">
      <c r="A965" s="43">
        <v>962</v>
      </c>
      <c r="B965" s="51" t="s">
        <v>2708</v>
      </c>
      <c r="C965" s="61" t="s">
        <v>2709</v>
      </c>
      <c r="D965" s="69" t="s">
        <v>21</v>
      </c>
    </row>
    <row r="966" customHeight="1" spans="1:4">
      <c r="A966" s="43">
        <v>963</v>
      </c>
      <c r="B966" s="51" t="s">
        <v>2710</v>
      </c>
      <c r="C966" s="61" t="s">
        <v>2711</v>
      </c>
      <c r="D966" s="69" t="s">
        <v>21</v>
      </c>
    </row>
    <row r="967" customHeight="1" spans="1:4">
      <c r="A967" s="43">
        <v>964</v>
      </c>
      <c r="B967" s="51" t="s">
        <v>2712</v>
      </c>
      <c r="C967" s="61" t="s">
        <v>2713</v>
      </c>
      <c r="D967" s="53" t="s">
        <v>991</v>
      </c>
    </row>
    <row r="968" customHeight="1" spans="1:4">
      <c r="A968" s="43">
        <v>965</v>
      </c>
      <c r="B968" s="51" t="s">
        <v>2714</v>
      </c>
      <c r="C968" s="61" t="s">
        <v>2715</v>
      </c>
      <c r="D968" s="69" t="s">
        <v>21</v>
      </c>
    </row>
    <row r="969" customHeight="1" spans="1:4">
      <c r="A969" s="43">
        <v>966</v>
      </c>
      <c r="B969" s="51" t="s">
        <v>2716</v>
      </c>
      <c r="C969" s="61" t="s">
        <v>2717</v>
      </c>
      <c r="D969" s="69" t="s">
        <v>21</v>
      </c>
    </row>
    <row r="970" customHeight="1" spans="1:4">
      <c r="A970" s="43">
        <v>967</v>
      </c>
      <c r="B970" s="51" t="s">
        <v>2718</v>
      </c>
      <c r="C970" s="61" t="s">
        <v>2719</v>
      </c>
      <c r="D970" s="69" t="s">
        <v>21</v>
      </c>
    </row>
    <row r="971" customHeight="1" spans="1:4">
      <c r="A971" s="43">
        <v>968</v>
      </c>
      <c r="B971" s="50" t="s">
        <v>2720</v>
      </c>
      <c r="C971" s="49" t="s">
        <v>2721</v>
      </c>
      <c r="D971" s="50" t="s">
        <v>991</v>
      </c>
    </row>
    <row r="972" customHeight="1" spans="1:4">
      <c r="A972" s="43">
        <v>969</v>
      </c>
      <c r="B972" s="51" t="s">
        <v>2722</v>
      </c>
      <c r="C972" s="61" t="s">
        <v>2723</v>
      </c>
      <c r="D972" s="69" t="s">
        <v>21</v>
      </c>
    </row>
    <row r="973" customHeight="1" spans="1:4">
      <c r="A973" s="43">
        <v>970</v>
      </c>
      <c r="B973" s="51" t="s">
        <v>2724</v>
      </c>
      <c r="C973" s="61" t="s">
        <v>2725</v>
      </c>
      <c r="D973" s="69" t="s">
        <v>21</v>
      </c>
    </row>
    <row r="974" customHeight="1" spans="1:4">
      <c r="A974" s="43">
        <v>971</v>
      </c>
      <c r="B974" s="51" t="s">
        <v>2726</v>
      </c>
      <c r="C974" s="61" t="s">
        <v>2727</v>
      </c>
      <c r="D974" s="69" t="s">
        <v>21</v>
      </c>
    </row>
    <row r="975" customHeight="1" spans="1:4">
      <c r="A975" s="43">
        <v>972</v>
      </c>
      <c r="B975" s="51" t="s">
        <v>2728</v>
      </c>
      <c r="C975" s="61" t="s">
        <v>2729</v>
      </c>
      <c r="D975" s="69" t="s">
        <v>21</v>
      </c>
    </row>
    <row r="976" customHeight="1" spans="1:4">
      <c r="A976" s="43">
        <v>973</v>
      </c>
      <c r="B976" s="51" t="s">
        <v>2730</v>
      </c>
      <c r="C976" s="61" t="s">
        <v>2731</v>
      </c>
      <c r="D976" s="69" t="s">
        <v>21</v>
      </c>
    </row>
    <row r="977" customHeight="1" spans="1:4">
      <c r="A977" s="43">
        <v>974</v>
      </c>
      <c r="B977" s="51" t="s">
        <v>2732</v>
      </c>
      <c r="C977" s="61" t="s">
        <v>2733</v>
      </c>
      <c r="D977" s="69" t="s">
        <v>21</v>
      </c>
    </row>
    <row r="978" customHeight="1" spans="1:4">
      <c r="A978" s="43">
        <v>975</v>
      </c>
      <c r="B978" s="51" t="s">
        <v>2734</v>
      </c>
      <c r="C978" s="61" t="s">
        <v>2735</v>
      </c>
      <c r="D978" s="69" t="s">
        <v>21</v>
      </c>
    </row>
    <row r="979" customHeight="1" spans="1:4">
      <c r="A979" s="43">
        <v>976</v>
      </c>
      <c r="B979" s="51" t="s">
        <v>2736</v>
      </c>
      <c r="C979" s="61" t="s">
        <v>2737</v>
      </c>
      <c r="D979" s="69" t="s">
        <v>21</v>
      </c>
    </row>
    <row r="980" customHeight="1" spans="1:4">
      <c r="A980" s="43">
        <v>977</v>
      </c>
      <c r="B980" s="51" t="s">
        <v>2738</v>
      </c>
      <c r="C980" s="61" t="s">
        <v>2739</v>
      </c>
      <c r="D980" s="69" t="s">
        <v>21</v>
      </c>
    </row>
    <row r="981" customHeight="1" spans="1:4">
      <c r="A981" s="43">
        <v>978</v>
      </c>
      <c r="B981" s="51" t="s">
        <v>2740</v>
      </c>
      <c r="C981" s="61" t="s">
        <v>2741</v>
      </c>
      <c r="D981" s="69" t="s">
        <v>21</v>
      </c>
    </row>
    <row r="982" customHeight="1" spans="1:4">
      <c r="A982" s="43">
        <v>979</v>
      </c>
      <c r="B982" s="51" t="s">
        <v>2742</v>
      </c>
      <c r="C982" s="61" t="s">
        <v>2743</v>
      </c>
      <c r="D982" s="69" t="s">
        <v>21</v>
      </c>
    </row>
    <row r="983" customHeight="1" spans="1:4">
      <c r="A983" s="43">
        <v>980</v>
      </c>
      <c r="B983" s="51" t="s">
        <v>2744</v>
      </c>
      <c r="C983" s="61" t="s">
        <v>2745</v>
      </c>
      <c r="D983" s="69" t="s">
        <v>21</v>
      </c>
    </row>
    <row r="984" customHeight="1" spans="1:4">
      <c r="A984" s="43">
        <v>981</v>
      </c>
      <c r="B984" s="51" t="s">
        <v>2746</v>
      </c>
      <c r="C984" s="61" t="s">
        <v>2747</v>
      </c>
      <c r="D984" s="69" t="s">
        <v>21</v>
      </c>
    </row>
    <row r="985" customHeight="1" spans="1:4">
      <c r="A985" s="43">
        <v>982</v>
      </c>
      <c r="B985" s="51" t="s">
        <v>2748</v>
      </c>
      <c r="C985" s="61" t="s">
        <v>2749</v>
      </c>
      <c r="D985" s="69" t="s">
        <v>21</v>
      </c>
    </row>
    <row r="986" customHeight="1" spans="1:4">
      <c r="A986" s="43">
        <v>983</v>
      </c>
      <c r="B986" s="51" t="s">
        <v>2750</v>
      </c>
      <c r="C986" s="61" t="s">
        <v>2751</v>
      </c>
      <c r="D986" s="69" t="s">
        <v>21</v>
      </c>
    </row>
    <row r="987" customHeight="1" spans="1:4">
      <c r="A987" s="43">
        <v>984</v>
      </c>
      <c r="B987" s="51" t="s">
        <v>2752</v>
      </c>
      <c r="C987" s="61" t="s">
        <v>2753</v>
      </c>
      <c r="D987" s="69" t="s">
        <v>21</v>
      </c>
    </row>
    <row r="988" customHeight="1" spans="1:4">
      <c r="A988" s="43">
        <v>985</v>
      </c>
      <c r="B988" s="51" t="s">
        <v>2754</v>
      </c>
      <c r="C988" s="61" t="s">
        <v>2755</v>
      </c>
      <c r="D988" s="69" t="s">
        <v>21</v>
      </c>
    </row>
    <row r="989" customHeight="1" spans="1:4">
      <c r="A989" s="43">
        <v>986</v>
      </c>
      <c r="B989" s="51" t="s">
        <v>2756</v>
      </c>
      <c r="C989" s="61" t="s">
        <v>2757</v>
      </c>
      <c r="D989" s="69" t="s">
        <v>21</v>
      </c>
    </row>
    <row r="990" customHeight="1" spans="1:4">
      <c r="A990" s="43">
        <v>987</v>
      </c>
      <c r="B990" s="51" t="s">
        <v>2758</v>
      </c>
      <c r="C990" s="61" t="s">
        <v>2759</v>
      </c>
      <c r="D990" s="69" t="s">
        <v>21</v>
      </c>
    </row>
    <row r="991" customHeight="1" spans="1:4">
      <c r="A991" s="43">
        <v>988</v>
      </c>
      <c r="B991" s="51" t="s">
        <v>2760</v>
      </c>
      <c r="C991" s="61" t="s">
        <v>2761</v>
      </c>
      <c r="D991" s="69" t="s">
        <v>21</v>
      </c>
    </row>
    <row r="992" customHeight="1" spans="1:4">
      <c r="A992" s="43">
        <v>989</v>
      </c>
      <c r="B992" s="51" t="s">
        <v>2762</v>
      </c>
      <c r="C992" s="61" t="s">
        <v>2763</v>
      </c>
      <c r="D992" s="69" t="s">
        <v>21</v>
      </c>
    </row>
    <row r="993" customHeight="1" spans="1:4">
      <c r="A993" s="43">
        <v>990</v>
      </c>
      <c r="B993" s="51" t="s">
        <v>2764</v>
      </c>
      <c r="C993" s="61" t="s">
        <v>2765</v>
      </c>
      <c r="D993" s="69" t="s">
        <v>21</v>
      </c>
    </row>
    <row r="994" customHeight="1" spans="1:4">
      <c r="A994" s="43">
        <v>991</v>
      </c>
      <c r="B994" s="51" t="s">
        <v>2766</v>
      </c>
      <c r="C994" s="61" t="s">
        <v>2767</v>
      </c>
      <c r="D994" s="69" t="s">
        <v>21</v>
      </c>
    </row>
    <row r="995" customHeight="1" spans="1:4">
      <c r="A995" s="43">
        <v>992</v>
      </c>
      <c r="B995" s="51" t="s">
        <v>2768</v>
      </c>
      <c r="C995" s="61" t="s">
        <v>2769</v>
      </c>
      <c r="D995" s="69" t="s">
        <v>21</v>
      </c>
    </row>
    <row r="996" customHeight="1" spans="1:4">
      <c r="A996" s="43">
        <v>993</v>
      </c>
      <c r="B996" s="51" t="s">
        <v>2770</v>
      </c>
      <c r="C996" s="61" t="s">
        <v>2771</v>
      </c>
      <c r="D996" s="69" t="s">
        <v>21</v>
      </c>
    </row>
    <row r="997" customHeight="1" spans="1:4">
      <c r="A997" s="43">
        <v>994</v>
      </c>
      <c r="B997" s="51" t="s">
        <v>2772</v>
      </c>
      <c r="C997" s="61" t="s">
        <v>2773</v>
      </c>
      <c r="D997" s="69" t="s">
        <v>21</v>
      </c>
    </row>
    <row r="998" customHeight="1" spans="1:4">
      <c r="A998" s="43">
        <v>995</v>
      </c>
      <c r="B998" s="51" t="s">
        <v>2774</v>
      </c>
      <c r="C998" s="61" t="s">
        <v>2775</v>
      </c>
      <c r="D998" s="69" t="s">
        <v>21</v>
      </c>
    </row>
    <row r="999" customHeight="1" spans="1:4">
      <c r="A999" s="43">
        <v>996</v>
      </c>
      <c r="B999" s="51" t="s">
        <v>2776</v>
      </c>
      <c r="C999" s="61" t="s">
        <v>2777</v>
      </c>
      <c r="D999" s="69" t="s">
        <v>21</v>
      </c>
    </row>
    <row r="1000" customHeight="1" spans="1:4">
      <c r="A1000" s="43">
        <v>997</v>
      </c>
      <c r="B1000" s="51" t="s">
        <v>2778</v>
      </c>
      <c r="C1000" s="61" t="s">
        <v>2779</v>
      </c>
      <c r="D1000" s="69" t="s">
        <v>21</v>
      </c>
    </row>
    <row r="1001" customHeight="1" spans="1:4">
      <c r="A1001" s="43">
        <v>998</v>
      </c>
      <c r="B1001" s="51" t="s">
        <v>2780</v>
      </c>
      <c r="C1001" s="61" t="s">
        <v>2781</v>
      </c>
      <c r="D1001" s="69" t="s">
        <v>21</v>
      </c>
    </row>
    <row r="1002" customHeight="1" spans="1:4">
      <c r="A1002" s="43">
        <v>999</v>
      </c>
      <c r="B1002" s="51" t="s">
        <v>2782</v>
      </c>
      <c r="C1002" s="49" t="s">
        <v>2783</v>
      </c>
      <c r="D1002" s="69" t="s">
        <v>21</v>
      </c>
    </row>
    <row r="1003" customHeight="1" spans="1:4">
      <c r="A1003" s="43">
        <v>1000</v>
      </c>
      <c r="B1003" s="51" t="s">
        <v>2784</v>
      </c>
      <c r="C1003" s="61" t="s">
        <v>2785</v>
      </c>
      <c r="D1003" s="69" t="s">
        <v>21</v>
      </c>
    </row>
    <row r="1004" customHeight="1" spans="1:4">
      <c r="A1004" s="43">
        <v>1001</v>
      </c>
      <c r="B1004" s="51" t="s">
        <v>2786</v>
      </c>
      <c r="C1004" s="61" t="s">
        <v>2787</v>
      </c>
      <c r="D1004" s="69" t="s">
        <v>21</v>
      </c>
    </row>
    <row r="1005" customHeight="1" spans="1:4">
      <c r="A1005" s="43">
        <v>1002</v>
      </c>
      <c r="B1005" s="51" t="s">
        <v>2788</v>
      </c>
      <c r="C1005" s="61" t="s">
        <v>2789</v>
      </c>
      <c r="D1005" s="69" t="s">
        <v>21</v>
      </c>
    </row>
    <row r="1006" customHeight="1" spans="1:4">
      <c r="A1006" s="43">
        <v>1003</v>
      </c>
      <c r="B1006" s="51" t="s">
        <v>2790</v>
      </c>
      <c r="C1006" s="61" t="s">
        <v>2791</v>
      </c>
      <c r="D1006" s="69" t="s">
        <v>21</v>
      </c>
    </row>
    <row r="1007" customHeight="1" spans="1:4">
      <c r="A1007" s="43">
        <v>1004</v>
      </c>
      <c r="B1007" s="51" t="s">
        <v>2792</v>
      </c>
      <c r="C1007" s="61" t="s">
        <v>2793</v>
      </c>
      <c r="D1007" s="69" t="s">
        <v>21</v>
      </c>
    </row>
    <row r="1008" customHeight="1" spans="1:4">
      <c r="A1008" s="43">
        <v>1005</v>
      </c>
      <c r="B1008" s="51" t="s">
        <v>2794</v>
      </c>
      <c r="C1008" s="61" t="s">
        <v>2795</v>
      </c>
      <c r="D1008" s="69" t="s">
        <v>21</v>
      </c>
    </row>
    <row r="1009" customHeight="1" spans="1:4">
      <c r="A1009" s="43">
        <v>1006</v>
      </c>
      <c r="B1009" s="51" t="s">
        <v>2796</v>
      </c>
      <c r="C1009" s="61" t="s">
        <v>2797</v>
      </c>
      <c r="D1009" s="69" t="s">
        <v>21</v>
      </c>
    </row>
    <row r="1010" customHeight="1" spans="1:4">
      <c r="A1010" s="43">
        <v>1007</v>
      </c>
      <c r="B1010" s="51" t="s">
        <v>2798</v>
      </c>
      <c r="C1010" s="61" t="s">
        <v>2799</v>
      </c>
      <c r="D1010" s="69" t="s">
        <v>21</v>
      </c>
    </row>
    <row r="1011" customHeight="1" spans="1:4">
      <c r="A1011" s="43">
        <v>1008</v>
      </c>
      <c r="B1011" s="51" t="s">
        <v>2800</v>
      </c>
      <c r="C1011" s="61" t="s">
        <v>2801</v>
      </c>
      <c r="D1011" s="69" t="s">
        <v>21</v>
      </c>
    </row>
    <row r="1012" customHeight="1" spans="1:4">
      <c r="A1012" s="43">
        <v>1009</v>
      </c>
      <c r="B1012" s="51" t="s">
        <v>2802</v>
      </c>
      <c r="C1012" s="61" t="s">
        <v>2803</v>
      </c>
      <c r="D1012" s="69" t="s">
        <v>21</v>
      </c>
    </row>
    <row r="1013" customHeight="1" spans="1:4">
      <c r="A1013" s="43">
        <v>1010</v>
      </c>
      <c r="B1013" s="51" t="s">
        <v>2804</v>
      </c>
      <c r="C1013" s="61" t="s">
        <v>2805</v>
      </c>
      <c r="D1013" s="69" t="s">
        <v>21</v>
      </c>
    </row>
    <row r="1014" customHeight="1" spans="1:4">
      <c r="A1014" s="43">
        <v>1011</v>
      </c>
      <c r="B1014" s="51" t="s">
        <v>2806</v>
      </c>
      <c r="C1014" s="61" t="s">
        <v>2807</v>
      </c>
      <c r="D1014" s="69" t="s">
        <v>21</v>
      </c>
    </row>
    <row r="1015" customHeight="1" spans="1:4">
      <c r="A1015" s="43">
        <v>1012</v>
      </c>
      <c r="B1015" s="51" t="s">
        <v>2808</v>
      </c>
      <c r="C1015" s="61" t="s">
        <v>2809</v>
      </c>
      <c r="D1015" s="69" t="s">
        <v>21</v>
      </c>
    </row>
    <row r="1016" customHeight="1" spans="1:4">
      <c r="A1016" s="43">
        <v>1013</v>
      </c>
      <c r="B1016" s="51" t="s">
        <v>2810</v>
      </c>
      <c r="C1016" s="61" t="s">
        <v>2811</v>
      </c>
      <c r="D1016" s="69" t="s">
        <v>21</v>
      </c>
    </row>
    <row r="1017" customHeight="1" spans="1:4">
      <c r="A1017" s="43">
        <v>1014</v>
      </c>
      <c r="B1017" s="51" t="s">
        <v>2812</v>
      </c>
      <c r="C1017" s="61" t="s">
        <v>2813</v>
      </c>
      <c r="D1017" s="69" t="s">
        <v>21</v>
      </c>
    </row>
    <row r="1018" customHeight="1" spans="1:4">
      <c r="A1018" s="43">
        <v>1015</v>
      </c>
      <c r="B1018" s="51" t="s">
        <v>2814</v>
      </c>
      <c r="C1018" s="61" t="s">
        <v>2815</v>
      </c>
      <c r="D1018" s="69" t="s">
        <v>21</v>
      </c>
    </row>
    <row r="1019" customHeight="1" spans="1:4">
      <c r="A1019" s="43">
        <v>1016</v>
      </c>
      <c r="B1019" s="51" t="s">
        <v>2816</v>
      </c>
      <c r="C1019" s="61" t="s">
        <v>2817</v>
      </c>
      <c r="D1019" s="69" t="s">
        <v>21</v>
      </c>
    </row>
    <row r="1020" customHeight="1" spans="1:4">
      <c r="A1020" s="43">
        <v>1017</v>
      </c>
      <c r="B1020" s="51" t="s">
        <v>2818</v>
      </c>
      <c r="C1020" s="61" t="s">
        <v>2819</v>
      </c>
      <c r="D1020" s="69" t="s">
        <v>21</v>
      </c>
    </row>
    <row r="1021" customHeight="1" spans="1:4">
      <c r="A1021" s="43">
        <v>1018</v>
      </c>
      <c r="B1021" s="51" t="s">
        <v>2820</v>
      </c>
      <c r="C1021" s="61" t="s">
        <v>2821</v>
      </c>
      <c r="D1021" s="69" t="s">
        <v>21</v>
      </c>
    </row>
    <row r="1022" customHeight="1" spans="1:4">
      <c r="A1022" s="43">
        <v>1019</v>
      </c>
      <c r="B1022" s="51" t="s">
        <v>2822</v>
      </c>
      <c r="C1022" s="61" t="s">
        <v>2823</v>
      </c>
      <c r="D1022" s="69" t="s">
        <v>21</v>
      </c>
    </row>
    <row r="1023" customHeight="1" spans="1:4">
      <c r="A1023" s="43">
        <v>1020</v>
      </c>
      <c r="B1023" s="51" t="s">
        <v>2824</v>
      </c>
      <c r="C1023" s="61" t="s">
        <v>2825</v>
      </c>
      <c r="D1023" s="69" t="s">
        <v>21</v>
      </c>
    </row>
    <row r="1024" customHeight="1" spans="1:4">
      <c r="A1024" s="43">
        <v>1021</v>
      </c>
      <c r="B1024" s="51" t="s">
        <v>2826</v>
      </c>
      <c r="C1024" s="61" t="s">
        <v>2827</v>
      </c>
      <c r="D1024" s="69" t="s">
        <v>21</v>
      </c>
    </row>
    <row r="1025" customHeight="1" spans="1:4">
      <c r="A1025" s="43">
        <v>1022</v>
      </c>
      <c r="B1025" s="51" t="s">
        <v>2828</v>
      </c>
      <c r="C1025" s="52" t="s">
        <v>2829</v>
      </c>
      <c r="D1025" s="53" t="s">
        <v>21</v>
      </c>
    </row>
    <row r="1026" customHeight="1" spans="1:4">
      <c r="A1026" s="43">
        <v>1023</v>
      </c>
      <c r="B1026" s="51" t="s">
        <v>2830</v>
      </c>
      <c r="C1026" s="52" t="s">
        <v>2831</v>
      </c>
      <c r="D1026" s="53" t="s">
        <v>21</v>
      </c>
    </row>
    <row r="1027" customHeight="1" spans="1:4">
      <c r="A1027" s="43">
        <v>1024</v>
      </c>
      <c r="B1027" s="51" t="s">
        <v>2832</v>
      </c>
      <c r="C1027" s="52" t="s">
        <v>2833</v>
      </c>
      <c r="D1027" s="53" t="s">
        <v>21</v>
      </c>
    </row>
    <row r="1028" customHeight="1" spans="1:4">
      <c r="A1028" s="43">
        <v>1025</v>
      </c>
      <c r="B1028" s="51" t="s">
        <v>2834</v>
      </c>
      <c r="C1028" s="52" t="s">
        <v>2835</v>
      </c>
      <c r="D1028" s="53" t="s">
        <v>21</v>
      </c>
    </row>
    <row r="1029" customHeight="1" spans="1:4">
      <c r="A1029" s="43">
        <v>1026</v>
      </c>
      <c r="B1029" s="51" t="s">
        <v>2836</v>
      </c>
      <c r="C1029" s="52" t="s">
        <v>2837</v>
      </c>
      <c r="D1029" s="53" t="s">
        <v>21</v>
      </c>
    </row>
    <row r="1030" customHeight="1" spans="1:4">
      <c r="A1030" s="43">
        <v>1027</v>
      </c>
      <c r="B1030" s="51" t="s">
        <v>2838</v>
      </c>
      <c r="C1030" s="52" t="s">
        <v>2839</v>
      </c>
      <c r="D1030" s="53" t="s">
        <v>21</v>
      </c>
    </row>
    <row r="1031" customHeight="1" spans="1:4">
      <c r="A1031" s="43">
        <v>1028</v>
      </c>
      <c r="B1031" s="51" t="s">
        <v>2840</v>
      </c>
      <c r="C1031" s="52" t="s">
        <v>2841</v>
      </c>
      <c r="D1031" s="53" t="s">
        <v>21</v>
      </c>
    </row>
    <row r="1032" customHeight="1" spans="1:4">
      <c r="A1032" s="43">
        <v>1029</v>
      </c>
      <c r="B1032" s="51" t="s">
        <v>2842</v>
      </c>
      <c r="C1032" s="52" t="s">
        <v>2843</v>
      </c>
      <c r="D1032" s="53" t="s">
        <v>21</v>
      </c>
    </row>
    <row r="1033" customHeight="1" spans="1:4">
      <c r="A1033" s="43">
        <v>1030</v>
      </c>
      <c r="B1033" s="51" t="s">
        <v>2844</v>
      </c>
      <c r="C1033" s="52" t="s">
        <v>2845</v>
      </c>
      <c r="D1033" s="53" t="s">
        <v>21</v>
      </c>
    </row>
    <row r="1034" customHeight="1" spans="1:4">
      <c r="A1034" s="43">
        <v>1031</v>
      </c>
      <c r="B1034" s="51" t="s">
        <v>2846</v>
      </c>
      <c r="C1034" s="52" t="s">
        <v>2847</v>
      </c>
      <c r="D1034" s="53" t="s">
        <v>21</v>
      </c>
    </row>
    <row r="1035" customHeight="1" spans="1:4">
      <c r="A1035" s="43">
        <v>1032</v>
      </c>
      <c r="B1035" s="51" t="s">
        <v>2848</v>
      </c>
      <c r="C1035" s="52" t="s">
        <v>2849</v>
      </c>
      <c r="D1035" s="53" t="s">
        <v>21</v>
      </c>
    </row>
    <row r="1036" customHeight="1" spans="1:4">
      <c r="A1036" s="43">
        <v>1033</v>
      </c>
      <c r="B1036" s="51" t="s">
        <v>2850</v>
      </c>
      <c r="C1036" s="61" t="s">
        <v>2851</v>
      </c>
      <c r="D1036" s="69" t="s">
        <v>21</v>
      </c>
    </row>
    <row r="1037" customHeight="1" spans="1:4">
      <c r="A1037" s="43">
        <v>1034</v>
      </c>
      <c r="B1037" s="51" t="s">
        <v>2852</v>
      </c>
      <c r="C1037" s="52" t="s">
        <v>2853</v>
      </c>
      <c r="D1037" s="53" t="s">
        <v>21</v>
      </c>
    </row>
    <row r="1038" customHeight="1" spans="1:4">
      <c r="A1038" s="43">
        <v>1035</v>
      </c>
      <c r="B1038" s="51" t="s">
        <v>2854</v>
      </c>
      <c r="C1038" s="61" t="s">
        <v>2855</v>
      </c>
      <c r="D1038" s="69" t="s">
        <v>21</v>
      </c>
    </row>
    <row r="1039" customHeight="1" spans="1:4">
      <c r="A1039" s="43">
        <v>1036</v>
      </c>
      <c r="B1039" s="51" t="s">
        <v>2856</v>
      </c>
      <c r="C1039" s="52" t="s">
        <v>2857</v>
      </c>
      <c r="D1039" s="53" t="s">
        <v>21</v>
      </c>
    </row>
    <row r="1040" customHeight="1" spans="1:4">
      <c r="A1040" s="43">
        <v>1037</v>
      </c>
      <c r="B1040" s="51" t="s">
        <v>2858</v>
      </c>
      <c r="C1040" s="52" t="s">
        <v>2859</v>
      </c>
      <c r="D1040" s="53" t="s">
        <v>21</v>
      </c>
    </row>
    <row r="1041" customHeight="1" spans="1:4">
      <c r="A1041" s="43">
        <v>1038</v>
      </c>
      <c r="B1041" s="51" t="s">
        <v>2860</v>
      </c>
      <c r="C1041" s="52" t="s">
        <v>2861</v>
      </c>
      <c r="D1041" s="53" t="s">
        <v>21</v>
      </c>
    </row>
    <row r="1042" customHeight="1" spans="1:4">
      <c r="A1042" s="43">
        <v>1039</v>
      </c>
      <c r="B1042" s="51" t="s">
        <v>2862</v>
      </c>
      <c r="C1042" s="52" t="s">
        <v>2863</v>
      </c>
      <c r="D1042" s="53" t="s">
        <v>21</v>
      </c>
    </row>
    <row r="1043" customHeight="1" spans="1:4">
      <c r="A1043" s="43">
        <v>1040</v>
      </c>
      <c r="B1043" s="51" t="s">
        <v>2864</v>
      </c>
      <c r="C1043" s="52" t="s">
        <v>2865</v>
      </c>
      <c r="D1043" s="53" t="s">
        <v>21</v>
      </c>
    </row>
    <row r="1044" customHeight="1" spans="1:4">
      <c r="A1044" s="43">
        <v>1041</v>
      </c>
      <c r="B1044" s="51" t="s">
        <v>2866</v>
      </c>
      <c r="C1044" s="52" t="s">
        <v>2867</v>
      </c>
      <c r="D1044" s="53" t="s">
        <v>21</v>
      </c>
    </row>
    <row r="1045" customHeight="1" spans="1:4">
      <c r="A1045" s="43">
        <v>1042</v>
      </c>
      <c r="B1045" s="51" t="s">
        <v>2868</v>
      </c>
      <c r="C1045" s="61" t="s">
        <v>2869</v>
      </c>
      <c r="D1045" s="69" t="s">
        <v>21</v>
      </c>
    </row>
    <row r="1046" customHeight="1" spans="1:4">
      <c r="A1046" s="43">
        <v>1043</v>
      </c>
      <c r="B1046" s="51" t="s">
        <v>2870</v>
      </c>
      <c r="C1046" s="52" t="s">
        <v>2871</v>
      </c>
      <c r="D1046" s="53" t="s">
        <v>21</v>
      </c>
    </row>
    <row r="1047" customHeight="1" spans="1:4">
      <c r="A1047" s="43">
        <v>1044</v>
      </c>
      <c r="B1047" s="51" t="s">
        <v>2872</v>
      </c>
      <c r="C1047" s="52" t="s">
        <v>2873</v>
      </c>
      <c r="D1047" s="53" t="s">
        <v>21</v>
      </c>
    </row>
    <row r="1048" customHeight="1" spans="1:4">
      <c r="A1048" s="43">
        <v>1045</v>
      </c>
      <c r="B1048" s="51" t="s">
        <v>2874</v>
      </c>
      <c r="C1048" s="52" t="s">
        <v>2875</v>
      </c>
      <c r="D1048" s="53" t="s">
        <v>21</v>
      </c>
    </row>
    <row r="1049" customHeight="1" spans="1:4">
      <c r="A1049" s="43">
        <v>1046</v>
      </c>
      <c r="B1049" s="51" t="s">
        <v>2876</v>
      </c>
      <c r="C1049" s="52" t="s">
        <v>2877</v>
      </c>
      <c r="D1049" s="53" t="s">
        <v>21</v>
      </c>
    </row>
    <row r="1050" customHeight="1" spans="1:4">
      <c r="A1050" s="43">
        <v>1047</v>
      </c>
      <c r="B1050" s="51" t="s">
        <v>2878</v>
      </c>
      <c r="C1050" s="52" t="s">
        <v>2879</v>
      </c>
      <c r="D1050" s="53" t="s">
        <v>21</v>
      </c>
    </row>
    <row r="1051" customHeight="1" spans="1:4">
      <c r="A1051" s="43">
        <v>1048</v>
      </c>
      <c r="B1051" s="51" t="s">
        <v>2880</v>
      </c>
      <c r="C1051" s="52" t="s">
        <v>2881</v>
      </c>
      <c r="D1051" s="53" t="s">
        <v>21</v>
      </c>
    </row>
    <row r="1052" customHeight="1" spans="1:4">
      <c r="A1052" s="43">
        <v>1049</v>
      </c>
      <c r="B1052" s="51" t="s">
        <v>2882</v>
      </c>
      <c r="C1052" s="52" t="s">
        <v>2883</v>
      </c>
      <c r="D1052" s="53" t="s">
        <v>21</v>
      </c>
    </row>
    <row r="1053" customHeight="1" spans="1:4">
      <c r="A1053" s="43">
        <v>1050</v>
      </c>
      <c r="B1053" s="51" t="s">
        <v>2884</v>
      </c>
      <c r="C1053" s="52" t="s">
        <v>2885</v>
      </c>
      <c r="D1053" s="53" t="s">
        <v>21</v>
      </c>
    </row>
    <row r="1054" customHeight="1" spans="1:4">
      <c r="A1054" s="43">
        <v>1051</v>
      </c>
      <c r="B1054" s="51" t="s">
        <v>2886</v>
      </c>
      <c r="C1054" s="52" t="s">
        <v>2887</v>
      </c>
      <c r="D1054" s="53" t="s">
        <v>21</v>
      </c>
    </row>
    <row r="1055" customHeight="1" spans="1:4">
      <c r="A1055" s="43">
        <v>1052</v>
      </c>
      <c r="B1055" s="51" t="s">
        <v>2888</v>
      </c>
      <c r="C1055" s="61" t="s">
        <v>2889</v>
      </c>
      <c r="D1055" s="69" t="s">
        <v>21</v>
      </c>
    </row>
    <row r="1056" customHeight="1" spans="1:4">
      <c r="A1056" s="43">
        <v>1053</v>
      </c>
      <c r="B1056" s="51" t="s">
        <v>2890</v>
      </c>
      <c r="C1056" s="61" t="s">
        <v>2891</v>
      </c>
      <c r="D1056" s="69" t="s">
        <v>21</v>
      </c>
    </row>
    <row r="1057" customHeight="1" spans="1:4">
      <c r="A1057" s="43">
        <v>1054</v>
      </c>
      <c r="B1057" s="51" t="s">
        <v>2892</v>
      </c>
      <c r="C1057" s="61" t="s">
        <v>2893</v>
      </c>
      <c r="D1057" s="69" t="s">
        <v>21</v>
      </c>
    </row>
    <row r="1058" customHeight="1" spans="1:4">
      <c r="A1058" s="43">
        <v>1055</v>
      </c>
      <c r="B1058" s="51" t="s">
        <v>2894</v>
      </c>
      <c r="C1058" s="61" t="s">
        <v>2895</v>
      </c>
      <c r="D1058" s="69" t="s">
        <v>21</v>
      </c>
    </row>
    <row r="1059" customHeight="1" spans="1:4">
      <c r="A1059" s="43">
        <v>1056</v>
      </c>
      <c r="B1059" s="51" t="s">
        <v>2896</v>
      </c>
      <c r="C1059" s="61" t="s">
        <v>2897</v>
      </c>
      <c r="D1059" s="69" t="s">
        <v>21</v>
      </c>
    </row>
    <row r="1060" customHeight="1" spans="1:4">
      <c r="A1060" s="43">
        <v>1057</v>
      </c>
      <c r="B1060" s="51" t="s">
        <v>2898</v>
      </c>
      <c r="C1060" s="61" t="s">
        <v>2899</v>
      </c>
      <c r="D1060" s="69" t="s">
        <v>21</v>
      </c>
    </row>
    <row r="1061" customHeight="1" spans="1:4">
      <c r="A1061" s="43">
        <v>1058</v>
      </c>
      <c r="B1061" s="51" t="s">
        <v>2900</v>
      </c>
      <c r="C1061" s="61" t="s">
        <v>2901</v>
      </c>
      <c r="D1061" s="69" t="s">
        <v>21</v>
      </c>
    </row>
    <row r="1062" customHeight="1" spans="1:4">
      <c r="A1062" s="43">
        <v>1059</v>
      </c>
      <c r="B1062" s="51" t="s">
        <v>2902</v>
      </c>
      <c r="C1062" s="61" t="s">
        <v>2903</v>
      </c>
      <c r="D1062" s="69" t="s">
        <v>21</v>
      </c>
    </row>
    <row r="1063" customHeight="1" spans="1:4">
      <c r="A1063" s="43">
        <v>1060</v>
      </c>
      <c r="B1063" s="51" t="s">
        <v>2904</v>
      </c>
      <c r="C1063" s="61" t="s">
        <v>2905</v>
      </c>
      <c r="D1063" s="69" t="s">
        <v>21</v>
      </c>
    </row>
    <row r="1064" customHeight="1" spans="1:4">
      <c r="A1064" s="43">
        <v>1061</v>
      </c>
      <c r="B1064" s="51" t="s">
        <v>2906</v>
      </c>
      <c r="C1064" s="61" t="s">
        <v>2907</v>
      </c>
      <c r="D1064" s="69" t="s">
        <v>21</v>
      </c>
    </row>
    <row r="1065" customHeight="1" spans="1:4">
      <c r="A1065" s="43">
        <v>1062</v>
      </c>
      <c r="B1065" s="51" t="s">
        <v>2908</v>
      </c>
      <c r="C1065" s="61" t="s">
        <v>2909</v>
      </c>
      <c r="D1065" s="69" t="s">
        <v>21</v>
      </c>
    </row>
    <row r="1066" customHeight="1" spans="1:4">
      <c r="A1066" s="43">
        <v>1063</v>
      </c>
      <c r="B1066" s="51" t="s">
        <v>2910</v>
      </c>
      <c r="C1066" s="61" t="s">
        <v>2911</v>
      </c>
      <c r="D1066" s="69" t="s">
        <v>21</v>
      </c>
    </row>
    <row r="1067" customHeight="1" spans="1:4">
      <c r="A1067" s="43">
        <v>1064</v>
      </c>
      <c r="B1067" s="51" t="s">
        <v>2912</v>
      </c>
      <c r="C1067" s="61" t="s">
        <v>2913</v>
      </c>
      <c r="D1067" s="69" t="s">
        <v>21</v>
      </c>
    </row>
    <row r="1068" customHeight="1" spans="1:4">
      <c r="A1068" s="43">
        <v>1065</v>
      </c>
      <c r="B1068" s="51" t="s">
        <v>2914</v>
      </c>
      <c r="C1068" s="61" t="s">
        <v>2915</v>
      </c>
      <c r="D1068" s="69" t="s">
        <v>21</v>
      </c>
    </row>
    <row r="1069" customHeight="1" spans="1:4">
      <c r="A1069" s="43">
        <v>1066</v>
      </c>
      <c r="B1069" s="51" t="s">
        <v>2916</v>
      </c>
      <c r="C1069" s="61" t="s">
        <v>2917</v>
      </c>
      <c r="D1069" s="69" t="s">
        <v>21</v>
      </c>
    </row>
    <row r="1070" customHeight="1" spans="1:4">
      <c r="A1070" s="43">
        <v>1067</v>
      </c>
      <c r="B1070" s="51" t="s">
        <v>2918</v>
      </c>
      <c r="C1070" s="61" t="s">
        <v>2919</v>
      </c>
      <c r="D1070" s="69" t="s">
        <v>21</v>
      </c>
    </row>
    <row r="1071" customHeight="1" spans="1:4">
      <c r="A1071" s="43">
        <v>1068</v>
      </c>
      <c r="B1071" s="51" t="s">
        <v>2920</v>
      </c>
      <c r="C1071" s="61" t="s">
        <v>2921</v>
      </c>
      <c r="D1071" s="69" t="s">
        <v>21</v>
      </c>
    </row>
    <row r="1072" customHeight="1" spans="1:4">
      <c r="A1072" s="43">
        <v>1069</v>
      </c>
      <c r="B1072" s="51" t="s">
        <v>2922</v>
      </c>
      <c r="C1072" s="61" t="s">
        <v>2923</v>
      </c>
      <c r="D1072" s="69" t="s">
        <v>21</v>
      </c>
    </row>
    <row r="1073" customHeight="1" spans="1:4">
      <c r="A1073" s="43">
        <v>1070</v>
      </c>
      <c r="B1073" s="51" t="s">
        <v>2924</v>
      </c>
      <c r="C1073" s="61" t="s">
        <v>2925</v>
      </c>
      <c r="D1073" s="69" t="s">
        <v>21</v>
      </c>
    </row>
    <row r="1074" customHeight="1" spans="1:4">
      <c r="A1074" s="43">
        <v>1071</v>
      </c>
      <c r="B1074" s="51" t="s">
        <v>2926</v>
      </c>
      <c r="C1074" s="61" t="s">
        <v>2927</v>
      </c>
      <c r="D1074" s="69" t="s">
        <v>21</v>
      </c>
    </row>
    <row r="1075" customHeight="1" spans="1:4">
      <c r="A1075" s="43">
        <v>1072</v>
      </c>
      <c r="B1075" s="51" t="s">
        <v>2928</v>
      </c>
      <c r="C1075" s="61" t="s">
        <v>2929</v>
      </c>
      <c r="D1075" s="69" t="s">
        <v>21</v>
      </c>
    </row>
    <row r="1076" customHeight="1" spans="1:4">
      <c r="A1076" s="43">
        <v>1073</v>
      </c>
      <c r="B1076" s="51" t="s">
        <v>2930</v>
      </c>
      <c r="C1076" s="61" t="s">
        <v>2931</v>
      </c>
      <c r="D1076" s="69" t="s">
        <v>21</v>
      </c>
    </row>
    <row r="1077" customHeight="1" spans="1:4">
      <c r="A1077" s="43">
        <v>1074</v>
      </c>
      <c r="B1077" s="51" t="s">
        <v>2932</v>
      </c>
      <c r="C1077" s="61" t="s">
        <v>2933</v>
      </c>
      <c r="D1077" s="69" t="s">
        <v>21</v>
      </c>
    </row>
    <row r="1078" customHeight="1" spans="1:4">
      <c r="A1078" s="43">
        <v>1075</v>
      </c>
      <c r="B1078" s="51" t="s">
        <v>2934</v>
      </c>
      <c r="C1078" s="61" t="s">
        <v>2935</v>
      </c>
      <c r="D1078" s="69" t="s">
        <v>21</v>
      </c>
    </row>
    <row r="1079" customHeight="1" spans="1:4">
      <c r="A1079" s="43">
        <v>1076</v>
      </c>
      <c r="B1079" s="54" t="s">
        <v>2936</v>
      </c>
      <c r="C1079" s="62" t="s">
        <v>2937</v>
      </c>
      <c r="D1079" s="63" t="s">
        <v>21</v>
      </c>
    </row>
    <row r="1080" customHeight="1" spans="1:4">
      <c r="A1080" s="43">
        <v>1077</v>
      </c>
      <c r="B1080" s="54" t="s">
        <v>2938</v>
      </c>
      <c r="C1080" s="62" t="s">
        <v>2939</v>
      </c>
      <c r="D1080" s="63" t="s">
        <v>21</v>
      </c>
    </row>
    <row r="1081" customHeight="1" spans="1:4">
      <c r="A1081" s="43">
        <v>1078</v>
      </c>
      <c r="B1081" s="51" t="s">
        <v>2940</v>
      </c>
      <c r="C1081" s="61" t="s">
        <v>2941</v>
      </c>
      <c r="D1081" s="69" t="s">
        <v>21</v>
      </c>
    </row>
    <row r="1082" customHeight="1" spans="1:4">
      <c r="A1082" s="43">
        <v>1079</v>
      </c>
      <c r="B1082" s="51" t="s">
        <v>2942</v>
      </c>
      <c r="C1082" s="61" t="s">
        <v>2943</v>
      </c>
      <c r="D1082" s="69" t="s">
        <v>21</v>
      </c>
    </row>
    <row r="1083" customHeight="1" spans="1:4">
      <c r="A1083" s="43">
        <v>1080</v>
      </c>
      <c r="B1083" s="51" t="s">
        <v>2944</v>
      </c>
      <c r="C1083" s="61" t="s">
        <v>2945</v>
      </c>
      <c r="D1083" s="69" t="s">
        <v>21</v>
      </c>
    </row>
    <row r="1084" customHeight="1" spans="1:4">
      <c r="A1084" s="43">
        <v>1081</v>
      </c>
      <c r="B1084" s="51" t="s">
        <v>2946</v>
      </c>
      <c r="C1084" s="61" t="s">
        <v>2947</v>
      </c>
      <c r="D1084" s="69" t="s">
        <v>21</v>
      </c>
    </row>
    <row r="1085" customHeight="1" spans="1:4">
      <c r="A1085" s="43">
        <v>1082</v>
      </c>
      <c r="B1085" s="51" t="s">
        <v>2948</v>
      </c>
      <c r="C1085" s="61" t="s">
        <v>2949</v>
      </c>
      <c r="D1085" s="69" t="s">
        <v>21</v>
      </c>
    </row>
    <row r="1086" customHeight="1" spans="1:4">
      <c r="A1086" s="43">
        <v>1083</v>
      </c>
      <c r="B1086" s="51" t="s">
        <v>2950</v>
      </c>
      <c r="C1086" s="61" t="s">
        <v>2951</v>
      </c>
      <c r="D1086" s="69" t="s">
        <v>21</v>
      </c>
    </row>
    <row r="1087" customHeight="1" spans="1:4">
      <c r="A1087" s="43">
        <v>1084</v>
      </c>
      <c r="B1087" s="51" t="s">
        <v>2952</v>
      </c>
      <c r="C1087" s="61" t="s">
        <v>2953</v>
      </c>
      <c r="D1087" s="69" t="s">
        <v>21</v>
      </c>
    </row>
    <row r="1088" customHeight="1" spans="1:4">
      <c r="A1088" s="43">
        <v>1085</v>
      </c>
      <c r="B1088" s="51" t="s">
        <v>2954</v>
      </c>
      <c r="C1088" s="61" t="s">
        <v>2955</v>
      </c>
      <c r="D1088" s="69" t="s">
        <v>21</v>
      </c>
    </row>
    <row r="1089" customHeight="1" spans="1:4">
      <c r="A1089" s="43">
        <v>1086</v>
      </c>
      <c r="B1089" s="51" t="s">
        <v>2956</v>
      </c>
      <c r="C1089" s="61" t="s">
        <v>2957</v>
      </c>
      <c r="D1089" s="69" t="s">
        <v>21</v>
      </c>
    </row>
    <row r="1090" customHeight="1" spans="1:4">
      <c r="A1090" s="43">
        <v>1087</v>
      </c>
      <c r="B1090" s="51" t="s">
        <v>2958</v>
      </c>
      <c r="C1090" s="61" t="s">
        <v>2959</v>
      </c>
      <c r="D1090" s="69" t="s">
        <v>21</v>
      </c>
    </row>
    <row r="1091" customHeight="1" spans="1:4">
      <c r="A1091" s="43">
        <v>1088</v>
      </c>
      <c r="B1091" s="51" t="s">
        <v>2960</v>
      </c>
      <c r="C1091" s="61" t="s">
        <v>2961</v>
      </c>
      <c r="D1091" s="69" t="s">
        <v>21</v>
      </c>
    </row>
    <row r="1092" customHeight="1" spans="1:4">
      <c r="A1092" s="43">
        <v>1089</v>
      </c>
      <c r="B1092" s="51" t="s">
        <v>2962</v>
      </c>
      <c r="C1092" s="61" t="s">
        <v>2963</v>
      </c>
      <c r="D1092" s="69" t="s">
        <v>21</v>
      </c>
    </row>
    <row r="1093" customHeight="1" spans="1:4">
      <c r="A1093" s="43">
        <v>1090</v>
      </c>
      <c r="B1093" s="51" t="s">
        <v>2964</v>
      </c>
      <c r="C1093" s="61" t="s">
        <v>2965</v>
      </c>
      <c r="D1093" s="69" t="s">
        <v>21</v>
      </c>
    </row>
    <row r="1094" customHeight="1" spans="1:4">
      <c r="A1094" s="43">
        <v>1091</v>
      </c>
      <c r="B1094" s="51" t="s">
        <v>2966</v>
      </c>
      <c r="C1094" s="61" t="s">
        <v>2967</v>
      </c>
      <c r="D1094" s="69" t="s">
        <v>21</v>
      </c>
    </row>
    <row r="1095" customHeight="1" spans="1:4">
      <c r="A1095" s="43">
        <v>1092</v>
      </c>
      <c r="B1095" s="51" t="s">
        <v>2968</v>
      </c>
      <c r="C1095" s="61" t="s">
        <v>2969</v>
      </c>
      <c r="D1095" s="69" t="s">
        <v>21</v>
      </c>
    </row>
    <row r="1096" customHeight="1" spans="1:4">
      <c r="A1096" s="43">
        <v>1093</v>
      </c>
      <c r="B1096" s="51" t="s">
        <v>2970</v>
      </c>
      <c r="C1096" s="61" t="s">
        <v>2971</v>
      </c>
      <c r="D1096" s="69" t="s">
        <v>21</v>
      </c>
    </row>
    <row r="1097" customHeight="1" spans="1:4">
      <c r="A1097" s="43">
        <v>1094</v>
      </c>
      <c r="B1097" s="51" t="s">
        <v>2972</v>
      </c>
      <c r="C1097" s="61" t="s">
        <v>2973</v>
      </c>
      <c r="D1097" s="69" t="s">
        <v>21</v>
      </c>
    </row>
    <row r="1098" customHeight="1" spans="1:4">
      <c r="A1098" s="43">
        <v>1095</v>
      </c>
      <c r="B1098" s="51" t="s">
        <v>2974</v>
      </c>
      <c r="C1098" s="61" t="s">
        <v>2975</v>
      </c>
      <c r="D1098" s="69" t="s">
        <v>21</v>
      </c>
    </row>
    <row r="1099" customHeight="1" spans="1:4">
      <c r="A1099" s="43">
        <v>1096</v>
      </c>
      <c r="B1099" s="51" t="s">
        <v>2976</v>
      </c>
      <c r="C1099" s="61" t="s">
        <v>2977</v>
      </c>
      <c r="D1099" s="69" t="s">
        <v>21</v>
      </c>
    </row>
    <row r="1100" customHeight="1" spans="1:4">
      <c r="A1100" s="43">
        <v>1097</v>
      </c>
      <c r="B1100" s="51" t="s">
        <v>2978</v>
      </c>
      <c r="C1100" s="61" t="s">
        <v>2979</v>
      </c>
      <c r="D1100" s="69" t="s">
        <v>21</v>
      </c>
    </row>
    <row r="1101" customHeight="1" spans="1:4">
      <c r="A1101" s="43">
        <v>1098</v>
      </c>
      <c r="B1101" s="51" t="s">
        <v>2980</v>
      </c>
      <c r="C1101" s="61" t="s">
        <v>2981</v>
      </c>
      <c r="D1101" s="69" t="s">
        <v>21</v>
      </c>
    </row>
    <row r="1102" customHeight="1" spans="1:4">
      <c r="A1102" s="43">
        <v>1099</v>
      </c>
      <c r="B1102" s="54" t="s">
        <v>2982</v>
      </c>
      <c r="C1102" s="62" t="s">
        <v>2983</v>
      </c>
      <c r="D1102" s="63" t="s">
        <v>21</v>
      </c>
    </row>
    <row r="1103" customHeight="1" spans="1:4">
      <c r="A1103" s="43">
        <v>1100</v>
      </c>
      <c r="B1103" s="51" t="s">
        <v>2984</v>
      </c>
      <c r="C1103" s="52" t="s">
        <v>2985</v>
      </c>
      <c r="D1103" s="53" t="s">
        <v>21</v>
      </c>
    </row>
    <row r="1104" customHeight="1" spans="1:4">
      <c r="A1104" s="43">
        <v>1101</v>
      </c>
      <c r="B1104" s="51" t="s">
        <v>2986</v>
      </c>
      <c r="C1104" s="52" t="s">
        <v>2987</v>
      </c>
      <c r="D1104" s="53" t="s">
        <v>21</v>
      </c>
    </row>
    <row r="1105" customHeight="1" spans="1:4">
      <c r="A1105" s="43">
        <v>1102</v>
      </c>
      <c r="B1105" s="51" t="s">
        <v>2988</v>
      </c>
      <c r="C1105" s="52" t="s">
        <v>2989</v>
      </c>
      <c r="D1105" s="53" t="s">
        <v>21</v>
      </c>
    </row>
    <row r="1106" customHeight="1" spans="1:4">
      <c r="A1106" s="43">
        <v>1103</v>
      </c>
      <c r="B1106" s="51" t="s">
        <v>2990</v>
      </c>
      <c r="C1106" s="52" t="s">
        <v>2991</v>
      </c>
      <c r="D1106" s="53" t="s">
        <v>21</v>
      </c>
    </row>
    <row r="1107" customHeight="1" spans="1:4">
      <c r="A1107" s="43">
        <v>1104</v>
      </c>
      <c r="B1107" s="51" t="s">
        <v>2992</v>
      </c>
      <c r="C1107" s="52" t="s">
        <v>2993</v>
      </c>
      <c r="D1107" s="53" t="s">
        <v>21</v>
      </c>
    </row>
    <row r="1108" customHeight="1" spans="1:4">
      <c r="A1108" s="43">
        <v>1105</v>
      </c>
      <c r="B1108" s="51" t="s">
        <v>2994</v>
      </c>
      <c r="C1108" s="52" t="s">
        <v>2995</v>
      </c>
      <c r="D1108" s="53" t="s">
        <v>21</v>
      </c>
    </row>
    <row r="1109" customHeight="1" spans="1:4">
      <c r="A1109" s="43">
        <v>1106</v>
      </c>
      <c r="B1109" s="51" t="s">
        <v>2996</v>
      </c>
      <c r="C1109" s="52" t="s">
        <v>2997</v>
      </c>
      <c r="D1109" s="53" t="s">
        <v>21</v>
      </c>
    </row>
    <row r="1110" customHeight="1" spans="1:4">
      <c r="A1110" s="43">
        <v>1107</v>
      </c>
      <c r="B1110" s="51" t="s">
        <v>2998</v>
      </c>
      <c r="C1110" s="52" t="s">
        <v>2999</v>
      </c>
      <c r="D1110" s="53" t="s">
        <v>21</v>
      </c>
    </row>
    <row r="1111" customHeight="1" spans="1:4">
      <c r="A1111" s="43">
        <v>1108</v>
      </c>
      <c r="B1111" s="51" t="s">
        <v>3000</v>
      </c>
      <c r="C1111" s="52" t="s">
        <v>3001</v>
      </c>
      <c r="D1111" s="53" t="s">
        <v>21</v>
      </c>
    </row>
    <row r="1112" customHeight="1" spans="1:4">
      <c r="A1112" s="43">
        <v>1109</v>
      </c>
      <c r="B1112" s="51" t="s">
        <v>3002</v>
      </c>
      <c r="C1112" s="52" t="s">
        <v>3003</v>
      </c>
      <c r="D1112" s="53" t="s">
        <v>21</v>
      </c>
    </row>
    <row r="1113" customHeight="1" spans="1:4">
      <c r="A1113" s="43">
        <v>1110</v>
      </c>
      <c r="B1113" s="51" t="s">
        <v>3004</v>
      </c>
      <c r="C1113" s="52" t="s">
        <v>3005</v>
      </c>
      <c r="D1113" s="53" t="s">
        <v>21</v>
      </c>
    </row>
    <row r="1114" customHeight="1" spans="1:4">
      <c r="A1114" s="43">
        <v>1111</v>
      </c>
      <c r="B1114" s="51" t="s">
        <v>3006</v>
      </c>
      <c r="C1114" s="52" t="s">
        <v>3007</v>
      </c>
      <c r="D1114" s="53" t="s">
        <v>21</v>
      </c>
    </row>
    <row r="1115" customHeight="1" spans="1:4">
      <c r="A1115" s="43">
        <v>1112</v>
      </c>
      <c r="B1115" s="51" t="s">
        <v>3008</v>
      </c>
      <c r="C1115" s="52" t="s">
        <v>3009</v>
      </c>
      <c r="D1115" s="53" t="s">
        <v>21</v>
      </c>
    </row>
    <row r="1116" customHeight="1" spans="1:4">
      <c r="A1116" s="43">
        <v>1113</v>
      </c>
      <c r="B1116" s="51" t="s">
        <v>3010</v>
      </c>
      <c r="C1116" s="52" t="s">
        <v>3011</v>
      </c>
      <c r="D1116" s="53" t="s">
        <v>21</v>
      </c>
    </row>
    <row r="1117" customHeight="1" spans="1:4">
      <c r="A1117" s="43">
        <v>1114</v>
      </c>
      <c r="B1117" s="51" t="s">
        <v>3012</v>
      </c>
      <c r="C1117" s="52" t="s">
        <v>3013</v>
      </c>
      <c r="D1117" s="53" t="s">
        <v>21</v>
      </c>
    </row>
    <row r="1118" customHeight="1" spans="1:4">
      <c r="A1118" s="43">
        <v>1115</v>
      </c>
      <c r="B1118" s="51" t="s">
        <v>3014</v>
      </c>
      <c r="C1118" s="52" t="s">
        <v>3015</v>
      </c>
      <c r="D1118" s="53" t="s">
        <v>21</v>
      </c>
    </row>
    <row r="1119" customHeight="1" spans="1:4">
      <c r="A1119" s="43">
        <v>1116</v>
      </c>
      <c r="B1119" s="51" t="s">
        <v>3016</v>
      </c>
      <c r="C1119" s="52" t="s">
        <v>3017</v>
      </c>
      <c r="D1119" s="53" t="s">
        <v>21</v>
      </c>
    </row>
    <row r="1120" customHeight="1" spans="1:4">
      <c r="A1120" s="43">
        <v>1117</v>
      </c>
      <c r="B1120" s="50" t="s">
        <v>3018</v>
      </c>
      <c r="C1120" s="49" t="s">
        <v>3019</v>
      </c>
      <c r="D1120" s="50" t="s">
        <v>21</v>
      </c>
    </row>
    <row r="1121" customHeight="1" spans="1:4">
      <c r="A1121" s="43">
        <v>1118</v>
      </c>
      <c r="B1121" s="50" t="s">
        <v>3020</v>
      </c>
      <c r="C1121" s="49" t="s">
        <v>3021</v>
      </c>
      <c r="D1121" s="50" t="s">
        <v>21</v>
      </c>
    </row>
    <row r="1122" customHeight="1" spans="1:4">
      <c r="A1122" s="43">
        <v>1119</v>
      </c>
      <c r="B1122" s="54" t="s">
        <v>3022</v>
      </c>
      <c r="C1122" s="62" t="s">
        <v>3023</v>
      </c>
      <c r="D1122" s="50" t="s">
        <v>21</v>
      </c>
    </row>
    <row r="1123" customHeight="1" spans="1:4">
      <c r="A1123" s="43">
        <v>1120</v>
      </c>
      <c r="B1123" s="54" t="s">
        <v>3024</v>
      </c>
      <c r="C1123" s="62" t="s">
        <v>3025</v>
      </c>
      <c r="D1123" s="63" t="s">
        <v>21</v>
      </c>
    </row>
    <row r="1124" customHeight="1" spans="1:4">
      <c r="A1124" s="43">
        <v>1121</v>
      </c>
      <c r="B1124" s="51" t="s">
        <v>3026</v>
      </c>
      <c r="C1124" s="52" t="s">
        <v>3027</v>
      </c>
      <c r="D1124" s="53" t="s">
        <v>21</v>
      </c>
    </row>
    <row r="1125" customHeight="1" spans="1:4">
      <c r="A1125" s="43">
        <v>1122</v>
      </c>
      <c r="B1125" s="51" t="s">
        <v>3028</v>
      </c>
      <c r="C1125" s="52" t="s">
        <v>3029</v>
      </c>
      <c r="D1125" s="53" t="s">
        <v>21</v>
      </c>
    </row>
    <row r="1126" customHeight="1" spans="1:4">
      <c r="A1126" s="43">
        <v>1123</v>
      </c>
      <c r="B1126" s="51" t="s">
        <v>3030</v>
      </c>
      <c r="C1126" s="52" t="s">
        <v>3031</v>
      </c>
      <c r="D1126" s="53" t="s">
        <v>21</v>
      </c>
    </row>
    <row r="1127" customHeight="1" spans="1:4">
      <c r="A1127" s="43">
        <v>1124</v>
      </c>
      <c r="B1127" s="51" t="s">
        <v>3032</v>
      </c>
      <c r="C1127" s="52" t="s">
        <v>3033</v>
      </c>
      <c r="D1127" s="53" t="s">
        <v>21</v>
      </c>
    </row>
    <row r="1128" customHeight="1" spans="1:4">
      <c r="A1128" s="43">
        <v>1125</v>
      </c>
      <c r="B1128" s="51" t="s">
        <v>3034</v>
      </c>
      <c r="C1128" s="52" t="s">
        <v>3035</v>
      </c>
      <c r="D1128" s="53" t="s">
        <v>21</v>
      </c>
    </row>
    <row r="1129" customHeight="1" spans="1:4">
      <c r="A1129" s="43">
        <v>1126</v>
      </c>
      <c r="B1129" s="51" t="s">
        <v>3036</v>
      </c>
      <c r="C1129" s="52" t="s">
        <v>3037</v>
      </c>
      <c r="D1129" s="53" t="s">
        <v>21</v>
      </c>
    </row>
    <row r="1130" customHeight="1" spans="1:4">
      <c r="A1130" s="43">
        <v>1127</v>
      </c>
      <c r="B1130" s="54" t="s">
        <v>3038</v>
      </c>
      <c r="C1130" s="62" t="s">
        <v>3039</v>
      </c>
      <c r="D1130" s="63" t="s">
        <v>21</v>
      </c>
    </row>
    <row r="1131" customHeight="1" spans="1:4">
      <c r="A1131" s="43">
        <v>1128</v>
      </c>
      <c r="B1131" s="54" t="s">
        <v>3040</v>
      </c>
      <c r="C1131" s="62" t="s">
        <v>3041</v>
      </c>
      <c r="D1131" s="63" t="s">
        <v>21</v>
      </c>
    </row>
    <row r="1132" customHeight="1" spans="1:4">
      <c r="A1132" s="43">
        <v>1129</v>
      </c>
      <c r="B1132" s="54" t="s">
        <v>3042</v>
      </c>
      <c r="C1132" s="62" t="s">
        <v>3043</v>
      </c>
      <c r="D1132" s="63" t="s">
        <v>21</v>
      </c>
    </row>
    <row r="1133" customHeight="1" spans="1:4">
      <c r="A1133" s="43">
        <v>1130</v>
      </c>
      <c r="B1133" s="54" t="s">
        <v>3044</v>
      </c>
      <c r="C1133" s="62" t="s">
        <v>3045</v>
      </c>
      <c r="D1133" s="63" t="s">
        <v>21</v>
      </c>
    </row>
    <row r="1134" customHeight="1" spans="1:4">
      <c r="A1134" s="43">
        <v>1131</v>
      </c>
      <c r="B1134" s="54" t="s">
        <v>3046</v>
      </c>
      <c r="C1134" s="62" t="s">
        <v>3047</v>
      </c>
      <c r="D1134" s="63" t="s">
        <v>21</v>
      </c>
    </row>
    <row r="1135" customHeight="1" spans="1:4">
      <c r="A1135" s="43">
        <v>1132</v>
      </c>
      <c r="B1135" s="50" t="s">
        <v>3048</v>
      </c>
      <c r="C1135" s="49" t="s">
        <v>3049</v>
      </c>
      <c r="D1135" s="50" t="s">
        <v>21</v>
      </c>
    </row>
    <row r="1136" customHeight="1" spans="1:4">
      <c r="A1136" s="43">
        <v>1133</v>
      </c>
      <c r="B1136" s="71" t="s">
        <v>3050</v>
      </c>
      <c r="C1136" s="62" t="s">
        <v>3051</v>
      </c>
      <c r="D1136" s="63" t="s">
        <v>21</v>
      </c>
    </row>
    <row r="1137" customHeight="1" spans="1:4">
      <c r="A1137" s="43">
        <v>1134</v>
      </c>
      <c r="B1137" s="54" t="s">
        <v>3052</v>
      </c>
      <c r="C1137" s="62" t="s">
        <v>3053</v>
      </c>
      <c r="D1137" s="63" t="s">
        <v>21</v>
      </c>
    </row>
    <row r="1138" customHeight="1" spans="1:4">
      <c r="A1138" s="43">
        <v>1135</v>
      </c>
      <c r="B1138" s="54" t="s">
        <v>3054</v>
      </c>
      <c r="C1138" s="62" t="s">
        <v>3055</v>
      </c>
      <c r="D1138" s="63" t="s">
        <v>21</v>
      </c>
    </row>
    <row r="1139" customHeight="1" spans="1:4">
      <c r="A1139" s="43">
        <v>1136</v>
      </c>
      <c r="B1139" s="54" t="s">
        <v>3056</v>
      </c>
      <c r="C1139" s="62" t="s">
        <v>3057</v>
      </c>
      <c r="D1139" s="63" t="s">
        <v>21</v>
      </c>
    </row>
    <row r="1140" customHeight="1" spans="1:4">
      <c r="A1140" s="43">
        <v>1137</v>
      </c>
      <c r="B1140" s="54" t="s">
        <v>3058</v>
      </c>
      <c r="C1140" s="62" t="s">
        <v>3059</v>
      </c>
      <c r="D1140" s="63" t="s">
        <v>21</v>
      </c>
    </row>
    <row r="1141" customHeight="1" spans="1:4">
      <c r="A1141" s="43">
        <v>1138</v>
      </c>
      <c r="B1141" s="54" t="s">
        <v>3060</v>
      </c>
      <c r="C1141" s="62" t="s">
        <v>3061</v>
      </c>
      <c r="D1141" s="63" t="s">
        <v>21</v>
      </c>
    </row>
    <row r="1142" customHeight="1" spans="1:4">
      <c r="A1142" s="43">
        <v>1139</v>
      </c>
      <c r="B1142" s="54" t="s">
        <v>3062</v>
      </c>
      <c r="C1142" s="62" t="s">
        <v>3063</v>
      </c>
      <c r="D1142" s="63" t="s">
        <v>21</v>
      </c>
    </row>
    <row r="1143" customHeight="1" spans="1:4">
      <c r="A1143" s="43">
        <v>1140</v>
      </c>
      <c r="B1143" s="54" t="s">
        <v>3064</v>
      </c>
      <c r="C1143" s="62" t="s">
        <v>3065</v>
      </c>
      <c r="D1143" s="63" t="s">
        <v>21</v>
      </c>
    </row>
    <row r="1144" customHeight="1" spans="1:4">
      <c r="A1144" s="43">
        <v>1141</v>
      </c>
      <c r="B1144" s="54" t="s">
        <v>3066</v>
      </c>
      <c r="C1144" s="62" t="s">
        <v>3067</v>
      </c>
      <c r="D1144" s="63" t="s">
        <v>21</v>
      </c>
    </row>
    <row r="1145" customHeight="1" spans="1:4">
      <c r="A1145" s="43">
        <v>1142</v>
      </c>
      <c r="B1145" s="54" t="s">
        <v>3068</v>
      </c>
      <c r="C1145" s="62" t="s">
        <v>3069</v>
      </c>
      <c r="D1145" s="63" t="s">
        <v>21</v>
      </c>
    </row>
    <row r="1146" customHeight="1" spans="1:4">
      <c r="A1146" s="43">
        <v>1143</v>
      </c>
      <c r="B1146" s="54" t="s">
        <v>3070</v>
      </c>
      <c r="C1146" s="62" t="s">
        <v>3071</v>
      </c>
      <c r="D1146" s="63" t="s">
        <v>21</v>
      </c>
    </row>
    <row r="1147" customHeight="1" spans="1:4">
      <c r="A1147" s="43">
        <v>1144</v>
      </c>
      <c r="B1147" s="54" t="s">
        <v>3072</v>
      </c>
      <c r="C1147" s="62" t="s">
        <v>3073</v>
      </c>
      <c r="D1147" s="63" t="s">
        <v>21</v>
      </c>
    </row>
    <row r="1148" customHeight="1" spans="1:4">
      <c r="A1148" s="43">
        <v>1145</v>
      </c>
      <c r="B1148" s="54" t="s">
        <v>3074</v>
      </c>
      <c r="C1148" s="62" t="s">
        <v>3075</v>
      </c>
      <c r="D1148" s="63" t="s">
        <v>21</v>
      </c>
    </row>
    <row r="1149" customHeight="1" spans="1:4">
      <c r="A1149" s="43">
        <v>1146</v>
      </c>
      <c r="B1149" s="54" t="s">
        <v>3076</v>
      </c>
      <c r="C1149" s="62" t="s">
        <v>3077</v>
      </c>
      <c r="D1149" s="63" t="s">
        <v>21</v>
      </c>
    </row>
    <row r="1150" customHeight="1" spans="1:4">
      <c r="A1150" s="43">
        <v>1147</v>
      </c>
      <c r="B1150" s="54" t="s">
        <v>3078</v>
      </c>
      <c r="C1150" s="62" t="s">
        <v>3079</v>
      </c>
      <c r="D1150" s="63" t="s">
        <v>21</v>
      </c>
    </row>
    <row r="1151" customHeight="1" spans="1:4">
      <c r="A1151" s="43">
        <v>1148</v>
      </c>
      <c r="B1151" s="54" t="s">
        <v>3080</v>
      </c>
      <c r="C1151" s="62" t="s">
        <v>3081</v>
      </c>
      <c r="D1151" s="63" t="s">
        <v>21</v>
      </c>
    </row>
    <row r="1152" customHeight="1" spans="1:4">
      <c r="A1152" s="43">
        <v>1149</v>
      </c>
      <c r="B1152" s="54" t="s">
        <v>3082</v>
      </c>
      <c r="C1152" s="62" t="s">
        <v>3083</v>
      </c>
      <c r="D1152" s="63" t="s">
        <v>21</v>
      </c>
    </row>
    <row r="1153" customHeight="1" spans="1:4">
      <c r="A1153" s="43">
        <v>1150</v>
      </c>
      <c r="B1153" s="54" t="s">
        <v>3084</v>
      </c>
      <c r="C1153" s="62" t="s">
        <v>3085</v>
      </c>
      <c r="D1153" s="63" t="s">
        <v>21</v>
      </c>
    </row>
    <row r="1154" customHeight="1" spans="1:4">
      <c r="A1154" s="43">
        <v>1151</v>
      </c>
      <c r="B1154" s="54" t="s">
        <v>3086</v>
      </c>
      <c r="C1154" s="62" t="s">
        <v>3087</v>
      </c>
      <c r="D1154" s="63" t="s">
        <v>21</v>
      </c>
    </row>
    <row r="1155" customHeight="1" spans="1:4">
      <c r="A1155" s="43">
        <v>1152</v>
      </c>
      <c r="B1155" s="54" t="s">
        <v>3088</v>
      </c>
      <c r="C1155" s="62" t="s">
        <v>3089</v>
      </c>
      <c r="D1155" s="63" t="s">
        <v>21</v>
      </c>
    </row>
    <row r="1156" customHeight="1" spans="1:4">
      <c r="A1156" s="43">
        <v>1153</v>
      </c>
      <c r="B1156" s="54" t="s">
        <v>3090</v>
      </c>
      <c r="C1156" s="62" t="s">
        <v>3091</v>
      </c>
      <c r="D1156" s="63" t="s">
        <v>21</v>
      </c>
    </row>
    <row r="1157" customHeight="1" spans="1:4">
      <c r="A1157" s="43">
        <v>1154</v>
      </c>
      <c r="B1157" s="54" t="s">
        <v>3092</v>
      </c>
      <c r="C1157" s="62" t="s">
        <v>3093</v>
      </c>
      <c r="D1157" s="63" t="s">
        <v>21</v>
      </c>
    </row>
    <row r="1158" customHeight="1" spans="1:4">
      <c r="A1158" s="43">
        <v>1155</v>
      </c>
      <c r="B1158" s="54" t="s">
        <v>3094</v>
      </c>
      <c r="C1158" s="62" t="s">
        <v>3095</v>
      </c>
      <c r="D1158" s="63" t="s">
        <v>21</v>
      </c>
    </row>
    <row r="1159" customHeight="1" spans="1:4">
      <c r="A1159" s="43">
        <v>1156</v>
      </c>
      <c r="B1159" s="54" t="s">
        <v>3096</v>
      </c>
      <c r="C1159" s="62" t="s">
        <v>3097</v>
      </c>
      <c r="D1159" s="63" t="s">
        <v>21</v>
      </c>
    </row>
    <row r="1160" customHeight="1" spans="1:4">
      <c r="A1160" s="43">
        <v>1157</v>
      </c>
      <c r="B1160" s="54" t="s">
        <v>3098</v>
      </c>
      <c r="C1160" s="62" t="s">
        <v>3099</v>
      </c>
      <c r="D1160" s="63" t="s">
        <v>21</v>
      </c>
    </row>
    <row r="1161" customHeight="1" spans="1:4">
      <c r="A1161" s="43">
        <v>1158</v>
      </c>
      <c r="B1161" s="54" t="s">
        <v>3100</v>
      </c>
      <c r="C1161" s="62" t="s">
        <v>3101</v>
      </c>
      <c r="D1161" s="63" t="s">
        <v>21</v>
      </c>
    </row>
    <row r="1162" customHeight="1" spans="1:4">
      <c r="A1162" s="43">
        <v>1159</v>
      </c>
      <c r="B1162" s="54" t="s">
        <v>3102</v>
      </c>
      <c r="C1162" s="62" t="s">
        <v>3103</v>
      </c>
      <c r="D1162" s="63" t="s">
        <v>21</v>
      </c>
    </row>
    <row r="1163" customHeight="1" spans="1:4">
      <c r="A1163" s="43">
        <v>1160</v>
      </c>
      <c r="B1163" s="54" t="s">
        <v>3104</v>
      </c>
      <c r="C1163" s="62" t="s">
        <v>3105</v>
      </c>
      <c r="D1163" s="63" t="s">
        <v>21</v>
      </c>
    </row>
    <row r="1164" customHeight="1" spans="1:4">
      <c r="A1164" s="43">
        <v>1161</v>
      </c>
      <c r="B1164" s="54" t="s">
        <v>3106</v>
      </c>
      <c r="C1164" s="62" t="s">
        <v>3107</v>
      </c>
      <c r="D1164" s="63" t="s">
        <v>21</v>
      </c>
    </row>
    <row r="1165" customHeight="1" spans="1:4">
      <c r="A1165" s="43">
        <v>1162</v>
      </c>
      <c r="B1165" s="54" t="s">
        <v>3108</v>
      </c>
      <c r="C1165" s="62" t="s">
        <v>3109</v>
      </c>
      <c r="D1165" s="63" t="s">
        <v>21</v>
      </c>
    </row>
    <row r="1166" customHeight="1" spans="1:4">
      <c r="A1166" s="43">
        <v>1163</v>
      </c>
      <c r="B1166" s="54" t="s">
        <v>3110</v>
      </c>
      <c r="C1166" s="62" t="s">
        <v>3111</v>
      </c>
      <c r="D1166" s="63" t="s">
        <v>21</v>
      </c>
    </row>
    <row r="1167" customHeight="1" spans="1:4">
      <c r="A1167" s="43">
        <v>1164</v>
      </c>
      <c r="B1167" s="54" t="s">
        <v>3112</v>
      </c>
      <c r="C1167" s="62" t="s">
        <v>3113</v>
      </c>
      <c r="D1167" s="63" t="s">
        <v>21</v>
      </c>
    </row>
    <row r="1168" customHeight="1" spans="1:4">
      <c r="A1168" s="43">
        <v>1165</v>
      </c>
      <c r="B1168" s="54" t="s">
        <v>3114</v>
      </c>
      <c r="C1168" s="62" t="s">
        <v>3115</v>
      </c>
      <c r="D1168" s="63" t="s">
        <v>21</v>
      </c>
    </row>
    <row r="1169" customHeight="1" spans="1:4">
      <c r="A1169" s="43">
        <v>1166</v>
      </c>
      <c r="B1169" s="54" t="s">
        <v>3116</v>
      </c>
      <c r="C1169" s="62" t="s">
        <v>3117</v>
      </c>
      <c r="D1169" s="63" t="s">
        <v>21</v>
      </c>
    </row>
    <row r="1170" customHeight="1" spans="1:4">
      <c r="A1170" s="43">
        <v>1167</v>
      </c>
      <c r="B1170" s="54" t="s">
        <v>3118</v>
      </c>
      <c r="C1170" s="62" t="s">
        <v>3119</v>
      </c>
      <c r="D1170" s="63" t="s">
        <v>21</v>
      </c>
    </row>
    <row r="1171" customHeight="1" spans="1:4">
      <c r="A1171" s="43">
        <v>1168</v>
      </c>
      <c r="B1171" s="54" t="s">
        <v>3120</v>
      </c>
      <c r="C1171" s="62" t="s">
        <v>3121</v>
      </c>
      <c r="D1171" s="63" t="s">
        <v>21</v>
      </c>
    </row>
    <row r="1172" customHeight="1" spans="1:4">
      <c r="A1172" s="43">
        <v>1169</v>
      </c>
      <c r="B1172" s="54" t="s">
        <v>3122</v>
      </c>
      <c r="C1172" s="62" t="s">
        <v>3123</v>
      </c>
      <c r="D1172" s="63" t="s">
        <v>21</v>
      </c>
    </row>
    <row r="1173" customHeight="1" spans="1:4">
      <c r="A1173" s="43">
        <v>1170</v>
      </c>
      <c r="B1173" s="54" t="s">
        <v>3124</v>
      </c>
      <c r="C1173" s="62" t="s">
        <v>3125</v>
      </c>
      <c r="D1173" s="63" t="s">
        <v>21</v>
      </c>
    </row>
    <row r="1174" customHeight="1" spans="1:4">
      <c r="A1174" s="43">
        <v>1171</v>
      </c>
      <c r="B1174" s="54" t="s">
        <v>3126</v>
      </c>
      <c r="C1174" s="62" t="s">
        <v>3127</v>
      </c>
      <c r="D1174" s="63" t="s">
        <v>21</v>
      </c>
    </row>
    <row r="1175" customHeight="1" spans="1:4">
      <c r="A1175" s="43">
        <v>1172</v>
      </c>
      <c r="B1175" s="54" t="s">
        <v>3128</v>
      </c>
      <c r="C1175" s="62" t="s">
        <v>3129</v>
      </c>
      <c r="D1175" s="63" t="s">
        <v>21</v>
      </c>
    </row>
    <row r="1176" customHeight="1" spans="1:4">
      <c r="A1176" s="43">
        <v>1173</v>
      </c>
      <c r="B1176" s="54" t="s">
        <v>3130</v>
      </c>
      <c r="C1176" s="62" t="s">
        <v>3131</v>
      </c>
      <c r="D1176" s="63" t="s">
        <v>21</v>
      </c>
    </row>
    <row r="1177" customHeight="1" spans="1:4">
      <c r="A1177" s="43">
        <v>1174</v>
      </c>
      <c r="B1177" s="54" t="s">
        <v>3132</v>
      </c>
      <c r="C1177" s="62" t="s">
        <v>3133</v>
      </c>
      <c r="D1177" s="63" t="s">
        <v>21</v>
      </c>
    </row>
    <row r="1178" customHeight="1" spans="1:4">
      <c r="A1178" s="43">
        <v>1175</v>
      </c>
      <c r="B1178" s="54" t="s">
        <v>3134</v>
      </c>
      <c r="C1178" s="62" t="s">
        <v>3135</v>
      </c>
      <c r="D1178" s="63" t="s">
        <v>21</v>
      </c>
    </row>
    <row r="1179" customHeight="1" spans="1:4">
      <c r="A1179" s="43">
        <v>1176</v>
      </c>
      <c r="B1179" s="54" t="s">
        <v>3136</v>
      </c>
      <c r="C1179" s="62" t="s">
        <v>3137</v>
      </c>
      <c r="D1179" s="63" t="s">
        <v>21</v>
      </c>
    </row>
    <row r="1180" customHeight="1" spans="1:4">
      <c r="A1180" s="43">
        <v>1177</v>
      </c>
      <c r="B1180" s="54" t="s">
        <v>3138</v>
      </c>
      <c r="C1180" s="62" t="s">
        <v>3139</v>
      </c>
      <c r="D1180" s="63" t="s">
        <v>21</v>
      </c>
    </row>
    <row r="1181" customHeight="1" spans="1:4">
      <c r="A1181" s="43">
        <v>1178</v>
      </c>
      <c r="B1181" s="54" t="s">
        <v>3140</v>
      </c>
      <c r="C1181" s="62" t="s">
        <v>3141</v>
      </c>
      <c r="D1181" s="63" t="s">
        <v>21</v>
      </c>
    </row>
    <row r="1182" customHeight="1" spans="1:4">
      <c r="A1182" s="43">
        <v>1179</v>
      </c>
      <c r="B1182" s="54" t="s">
        <v>3142</v>
      </c>
      <c r="C1182" s="62" t="s">
        <v>3143</v>
      </c>
      <c r="D1182" s="63" t="s">
        <v>21</v>
      </c>
    </row>
    <row r="1183" customHeight="1" spans="1:4">
      <c r="A1183" s="43">
        <v>1180</v>
      </c>
      <c r="B1183" s="54" t="s">
        <v>3144</v>
      </c>
      <c r="C1183" s="62" t="s">
        <v>3145</v>
      </c>
      <c r="D1183" s="63" t="s">
        <v>21</v>
      </c>
    </row>
    <row r="1184" customHeight="1" spans="1:4">
      <c r="A1184" s="43">
        <v>1181</v>
      </c>
      <c r="B1184" s="54" t="s">
        <v>3146</v>
      </c>
      <c r="C1184" s="62" t="s">
        <v>3147</v>
      </c>
      <c r="D1184" s="63" t="s">
        <v>21</v>
      </c>
    </row>
    <row r="1185" customHeight="1" spans="1:4">
      <c r="A1185" s="43">
        <v>1182</v>
      </c>
      <c r="B1185" s="50" t="s">
        <v>3148</v>
      </c>
      <c r="C1185" s="49" t="s">
        <v>3149</v>
      </c>
      <c r="D1185" s="50" t="s">
        <v>21</v>
      </c>
    </row>
    <row r="1186" customHeight="1" spans="1:4">
      <c r="A1186" s="43">
        <v>1183</v>
      </c>
      <c r="B1186" s="54" t="s">
        <v>3150</v>
      </c>
      <c r="C1186" s="62" t="s">
        <v>3151</v>
      </c>
      <c r="D1186" s="63" t="s">
        <v>21</v>
      </c>
    </row>
    <row r="1187" customHeight="1" spans="1:4">
      <c r="A1187" s="43">
        <v>1184</v>
      </c>
      <c r="B1187" s="54" t="s">
        <v>3152</v>
      </c>
      <c r="C1187" s="62" t="s">
        <v>3153</v>
      </c>
      <c r="D1187" s="63" t="s">
        <v>21</v>
      </c>
    </row>
    <row r="1188" customHeight="1" spans="1:4">
      <c r="A1188" s="43">
        <v>1185</v>
      </c>
      <c r="B1188" s="54" t="s">
        <v>3154</v>
      </c>
      <c r="C1188" s="62" t="s">
        <v>3155</v>
      </c>
      <c r="D1188" s="63" t="s">
        <v>21</v>
      </c>
    </row>
    <row r="1189" customHeight="1" spans="1:4">
      <c r="A1189" s="43">
        <v>1186</v>
      </c>
      <c r="B1189" s="50" t="s">
        <v>3156</v>
      </c>
      <c r="C1189" s="49" t="s">
        <v>3157</v>
      </c>
      <c r="D1189" s="43" t="s">
        <v>21</v>
      </c>
    </row>
    <row r="1190" customHeight="1" spans="1:4">
      <c r="A1190" s="43">
        <v>1187</v>
      </c>
      <c r="B1190" s="43" t="s">
        <v>3158</v>
      </c>
      <c r="C1190" s="49" t="s">
        <v>3159</v>
      </c>
      <c r="D1190" s="43" t="s">
        <v>21</v>
      </c>
    </row>
    <row r="1191" customHeight="1" spans="1:4">
      <c r="A1191" s="43">
        <v>1188</v>
      </c>
      <c r="B1191" s="54" t="s">
        <v>3160</v>
      </c>
      <c r="C1191" s="62" t="s">
        <v>3161</v>
      </c>
      <c r="D1191" s="63" t="s">
        <v>21</v>
      </c>
    </row>
    <row r="1192" customHeight="1" spans="1:4">
      <c r="A1192" s="43">
        <v>1189</v>
      </c>
      <c r="B1192" s="54" t="s">
        <v>3162</v>
      </c>
      <c r="C1192" s="62" t="s">
        <v>3163</v>
      </c>
      <c r="D1192" s="63" t="s">
        <v>21</v>
      </c>
    </row>
    <row r="1193" customHeight="1" spans="1:4">
      <c r="A1193" s="43">
        <v>1190</v>
      </c>
      <c r="B1193" s="54" t="s">
        <v>3164</v>
      </c>
      <c r="C1193" s="62" t="s">
        <v>3165</v>
      </c>
      <c r="D1193" s="63" t="s">
        <v>21</v>
      </c>
    </row>
    <row r="1194" customHeight="1" spans="1:4">
      <c r="A1194" s="43">
        <v>1191</v>
      </c>
      <c r="B1194" s="54" t="s">
        <v>3166</v>
      </c>
      <c r="C1194" s="62" t="s">
        <v>3167</v>
      </c>
      <c r="D1194" s="63" t="s">
        <v>21</v>
      </c>
    </row>
    <row r="1195" customHeight="1" spans="1:4">
      <c r="A1195" s="43">
        <v>1192</v>
      </c>
      <c r="B1195" s="50" t="s">
        <v>3168</v>
      </c>
      <c r="C1195" s="49" t="s">
        <v>3169</v>
      </c>
      <c r="D1195" s="50" t="s">
        <v>21</v>
      </c>
    </row>
    <row r="1196" customHeight="1" spans="1:4">
      <c r="A1196" s="43">
        <v>1193</v>
      </c>
      <c r="B1196" s="50" t="s">
        <v>3170</v>
      </c>
      <c r="C1196" s="49" t="s">
        <v>3171</v>
      </c>
      <c r="D1196" s="50" t="s">
        <v>21</v>
      </c>
    </row>
    <row r="1197" customHeight="1" spans="1:4">
      <c r="A1197" s="43">
        <v>1194</v>
      </c>
      <c r="B1197" s="54" t="s">
        <v>3172</v>
      </c>
      <c r="C1197" s="62" t="s">
        <v>3173</v>
      </c>
      <c r="D1197" s="63" t="s">
        <v>21</v>
      </c>
    </row>
    <row r="1198" customHeight="1" spans="1:4">
      <c r="A1198" s="43">
        <v>1195</v>
      </c>
      <c r="B1198" s="51" t="s">
        <v>3174</v>
      </c>
      <c r="C1198" s="72" t="s">
        <v>3175</v>
      </c>
      <c r="D1198" s="69" t="s">
        <v>21</v>
      </c>
    </row>
    <row r="1199" customHeight="1" spans="1:4">
      <c r="A1199" s="43">
        <v>1196</v>
      </c>
      <c r="B1199" s="51" t="s">
        <v>3176</v>
      </c>
      <c r="C1199" s="72" t="s">
        <v>3177</v>
      </c>
      <c r="D1199" s="69" t="s">
        <v>21</v>
      </c>
    </row>
    <row r="1200" customHeight="1" spans="1:4">
      <c r="A1200" s="43">
        <v>1197</v>
      </c>
      <c r="B1200" s="51" t="s">
        <v>3178</v>
      </c>
      <c r="C1200" s="72" t="s">
        <v>3179</v>
      </c>
      <c r="D1200" s="69" t="s">
        <v>21</v>
      </c>
    </row>
    <row r="1201" customHeight="1" spans="1:4">
      <c r="A1201" s="43">
        <v>1198</v>
      </c>
      <c r="B1201" s="51" t="s">
        <v>3180</v>
      </c>
      <c r="C1201" s="72" t="s">
        <v>3181</v>
      </c>
      <c r="D1201" s="69" t="s">
        <v>21</v>
      </c>
    </row>
    <row r="1202" customHeight="1" spans="1:4">
      <c r="A1202" s="43">
        <v>1199</v>
      </c>
      <c r="B1202" s="51" t="s">
        <v>3182</v>
      </c>
      <c r="C1202" s="72" t="s">
        <v>3183</v>
      </c>
      <c r="D1202" s="69" t="s">
        <v>21</v>
      </c>
    </row>
    <row r="1203" customHeight="1" spans="1:4">
      <c r="A1203" s="43">
        <v>1200</v>
      </c>
      <c r="B1203" s="51" t="s">
        <v>3184</v>
      </c>
      <c r="C1203" s="72" t="s">
        <v>3185</v>
      </c>
      <c r="D1203" s="69" t="s">
        <v>21</v>
      </c>
    </row>
    <row r="1204" customHeight="1" spans="1:4">
      <c r="A1204" s="43">
        <v>1201</v>
      </c>
      <c r="B1204" s="51" t="s">
        <v>3186</v>
      </c>
      <c r="C1204" s="72" t="s">
        <v>3187</v>
      </c>
      <c r="D1204" s="69" t="s">
        <v>21</v>
      </c>
    </row>
    <row r="1205" customHeight="1" spans="1:4">
      <c r="A1205" s="43">
        <v>1202</v>
      </c>
      <c r="B1205" s="51" t="s">
        <v>3188</v>
      </c>
      <c r="C1205" s="72" t="s">
        <v>3189</v>
      </c>
      <c r="D1205" s="69" t="s">
        <v>21</v>
      </c>
    </row>
    <row r="1206" customHeight="1" spans="1:4">
      <c r="A1206" s="43">
        <v>1203</v>
      </c>
      <c r="B1206" s="51" t="s">
        <v>3190</v>
      </c>
      <c r="C1206" s="72" t="s">
        <v>3191</v>
      </c>
      <c r="D1206" s="69" t="s">
        <v>21</v>
      </c>
    </row>
    <row r="1207" customHeight="1" spans="1:4">
      <c r="A1207" s="43">
        <v>1204</v>
      </c>
      <c r="B1207" s="51" t="s">
        <v>3192</v>
      </c>
      <c r="C1207" s="72" t="s">
        <v>3193</v>
      </c>
      <c r="D1207" s="69" t="s">
        <v>21</v>
      </c>
    </row>
    <row r="1208" customHeight="1" spans="1:4">
      <c r="A1208" s="43">
        <v>1205</v>
      </c>
      <c r="B1208" s="51" t="s">
        <v>3194</v>
      </c>
      <c r="C1208" s="72" t="s">
        <v>3195</v>
      </c>
      <c r="D1208" s="69" t="s">
        <v>21</v>
      </c>
    </row>
    <row r="1209" customHeight="1" spans="1:4">
      <c r="A1209" s="43">
        <v>1206</v>
      </c>
      <c r="B1209" s="51" t="s">
        <v>3196</v>
      </c>
      <c r="C1209" s="72" t="s">
        <v>3197</v>
      </c>
      <c r="D1209" s="69" t="s">
        <v>21</v>
      </c>
    </row>
    <row r="1210" customHeight="1" spans="1:4">
      <c r="A1210" s="43">
        <v>1207</v>
      </c>
      <c r="B1210" s="51" t="s">
        <v>3198</v>
      </c>
      <c r="C1210" s="72" t="s">
        <v>3199</v>
      </c>
      <c r="D1210" s="69" t="s">
        <v>21</v>
      </c>
    </row>
    <row r="1211" customHeight="1" spans="1:4">
      <c r="A1211" s="43">
        <v>1208</v>
      </c>
      <c r="B1211" s="51" t="s">
        <v>3200</v>
      </c>
      <c r="C1211" s="72" t="s">
        <v>3201</v>
      </c>
      <c r="D1211" s="69" t="s">
        <v>21</v>
      </c>
    </row>
    <row r="1212" customHeight="1" spans="1:4">
      <c r="A1212" s="43">
        <v>1209</v>
      </c>
      <c r="B1212" s="51" t="s">
        <v>3202</v>
      </c>
      <c r="C1212" s="72" t="s">
        <v>3203</v>
      </c>
      <c r="D1212" s="69" t="s">
        <v>21</v>
      </c>
    </row>
    <row r="1213" customHeight="1" spans="1:4">
      <c r="A1213" s="43">
        <v>1210</v>
      </c>
      <c r="B1213" s="51" t="s">
        <v>3204</v>
      </c>
      <c r="C1213" s="72" t="s">
        <v>3205</v>
      </c>
      <c r="D1213" s="69" t="s">
        <v>21</v>
      </c>
    </row>
    <row r="1214" customHeight="1" spans="1:4">
      <c r="A1214" s="43">
        <v>1211</v>
      </c>
      <c r="B1214" s="50" t="s">
        <v>3206</v>
      </c>
      <c r="C1214" s="73" t="s">
        <v>3207</v>
      </c>
      <c r="D1214" s="43" t="s">
        <v>40</v>
      </c>
    </row>
    <row r="1215" customHeight="1" spans="1:4">
      <c r="A1215" s="43">
        <v>1212</v>
      </c>
      <c r="B1215" s="50" t="s">
        <v>3208</v>
      </c>
      <c r="C1215" s="73" t="s">
        <v>3209</v>
      </c>
      <c r="D1215" s="43" t="s">
        <v>40</v>
      </c>
    </row>
    <row r="1216" customHeight="1" spans="1:4">
      <c r="A1216" s="43">
        <v>1213</v>
      </c>
      <c r="B1216" s="50" t="s">
        <v>3210</v>
      </c>
      <c r="C1216" s="73" t="s">
        <v>3211</v>
      </c>
      <c r="D1216" s="43" t="s">
        <v>40</v>
      </c>
    </row>
    <row r="1217" customHeight="1" spans="1:4">
      <c r="A1217" s="43">
        <v>1214</v>
      </c>
      <c r="B1217" s="50" t="s">
        <v>3212</v>
      </c>
      <c r="C1217" s="73" t="s">
        <v>3213</v>
      </c>
      <c r="D1217" s="43" t="s">
        <v>40</v>
      </c>
    </row>
    <row r="1218" customHeight="1" spans="1:4">
      <c r="A1218" s="43">
        <v>1215</v>
      </c>
      <c r="B1218" s="51" t="s">
        <v>3214</v>
      </c>
      <c r="C1218" s="72" t="s">
        <v>3215</v>
      </c>
      <c r="D1218" s="69" t="s">
        <v>21</v>
      </c>
    </row>
    <row r="1219" customHeight="1" spans="1:4">
      <c r="A1219" s="43">
        <v>1216</v>
      </c>
      <c r="B1219" s="51" t="s">
        <v>3216</v>
      </c>
      <c r="C1219" s="72" t="s">
        <v>3217</v>
      </c>
      <c r="D1219" s="69" t="s">
        <v>21</v>
      </c>
    </row>
    <row r="1220" customHeight="1" spans="1:4">
      <c r="A1220" s="43">
        <v>1217</v>
      </c>
      <c r="B1220" s="51" t="s">
        <v>3218</v>
      </c>
      <c r="C1220" s="72" t="s">
        <v>3219</v>
      </c>
      <c r="D1220" s="69" t="s">
        <v>21</v>
      </c>
    </row>
    <row r="1221" customHeight="1" spans="1:4">
      <c r="A1221" s="43">
        <v>1218</v>
      </c>
      <c r="B1221" s="51" t="s">
        <v>3220</v>
      </c>
      <c r="C1221" s="72" t="s">
        <v>3221</v>
      </c>
      <c r="D1221" s="69" t="s">
        <v>21</v>
      </c>
    </row>
    <row r="1222" customHeight="1" spans="1:4">
      <c r="A1222" s="43">
        <v>1219</v>
      </c>
      <c r="B1222" s="51" t="s">
        <v>3222</v>
      </c>
      <c r="C1222" s="72" t="s">
        <v>3223</v>
      </c>
      <c r="D1222" s="69" t="s">
        <v>21</v>
      </c>
    </row>
    <row r="1223" customHeight="1" spans="1:4">
      <c r="A1223" s="43">
        <v>1220</v>
      </c>
      <c r="B1223" s="51" t="s">
        <v>3224</v>
      </c>
      <c r="C1223" s="72" t="s">
        <v>3225</v>
      </c>
      <c r="D1223" s="69" t="s">
        <v>21</v>
      </c>
    </row>
    <row r="1224" customHeight="1" spans="1:4">
      <c r="A1224" s="43">
        <v>1221</v>
      </c>
      <c r="B1224" s="51" t="s">
        <v>3226</v>
      </c>
      <c r="C1224" s="72" t="s">
        <v>3227</v>
      </c>
      <c r="D1224" s="69" t="s">
        <v>21</v>
      </c>
    </row>
    <row r="1225" customHeight="1" spans="1:4">
      <c r="A1225" s="43">
        <v>1222</v>
      </c>
      <c r="B1225" s="51" t="s">
        <v>3228</v>
      </c>
      <c r="C1225" s="72" t="s">
        <v>3229</v>
      </c>
      <c r="D1225" s="69" t="s">
        <v>21</v>
      </c>
    </row>
    <row r="1226" customHeight="1" spans="1:4">
      <c r="A1226" s="43">
        <v>1223</v>
      </c>
      <c r="B1226" s="51" t="s">
        <v>3230</v>
      </c>
      <c r="C1226" s="72" t="s">
        <v>3231</v>
      </c>
      <c r="D1226" s="69" t="s">
        <v>21</v>
      </c>
    </row>
    <row r="1227" customHeight="1" spans="1:4">
      <c r="A1227" s="43">
        <v>1224</v>
      </c>
      <c r="B1227" s="51" t="s">
        <v>3232</v>
      </c>
      <c r="C1227" s="72" t="s">
        <v>3233</v>
      </c>
      <c r="D1227" s="69" t="s">
        <v>3234</v>
      </c>
    </row>
    <row r="1228" customHeight="1" spans="1:4">
      <c r="A1228" s="43">
        <v>1225</v>
      </c>
      <c r="B1228" s="51" t="s">
        <v>3235</v>
      </c>
      <c r="C1228" s="72" t="s">
        <v>3236</v>
      </c>
      <c r="D1228" s="69" t="s">
        <v>3237</v>
      </c>
    </row>
    <row r="1229" customHeight="1" spans="1:4">
      <c r="A1229" s="43">
        <v>1226</v>
      </c>
      <c r="B1229" s="51" t="s">
        <v>3238</v>
      </c>
      <c r="C1229" s="72" t="s">
        <v>3239</v>
      </c>
      <c r="D1229" s="69" t="s">
        <v>3237</v>
      </c>
    </row>
    <row r="1230" customHeight="1" spans="1:4">
      <c r="A1230" s="43">
        <v>1227</v>
      </c>
      <c r="B1230" s="51" t="s">
        <v>3240</v>
      </c>
      <c r="C1230" s="72" t="s">
        <v>3241</v>
      </c>
      <c r="D1230" s="69" t="s">
        <v>3237</v>
      </c>
    </row>
    <row r="1231" customHeight="1" spans="1:4">
      <c r="A1231" s="43">
        <v>1228</v>
      </c>
      <c r="B1231" s="74" t="s">
        <v>3242</v>
      </c>
      <c r="C1231" s="75" t="s">
        <v>3243</v>
      </c>
      <c r="D1231" s="76" t="s">
        <v>21</v>
      </c>
    </row>
    <row r="1232" customHeight="1" spans="1:4">
      <c r="A1232" s="43">
        <v>1229</v>
      </c>
      <c r="B1232" s="51" t="s">
        <v>3244</v>
      </c>
      <c r="C1232" s="72" t="s">
        <v>3245</v>
      </c>
      <c r="D1232" s="69" t="s">
        <v>3246</v>
      </c>
    </row>
    <row r="1233" customHeight="1" spans="1:4">
      <c r="A1233" s="43">
        <v>1230</v>
      </c>
      <c r="B1233" s="51" t="s">
        <v>3247</v>
      </c>
      <c r="C1233" s="72" t="s">
        <v>3248</v>
      </c>
      <c r="D1233" s="69" t="s">
        <v>3234</v>
      </c>
    </row>
    <row r="1234" customHeight="1" spans="1:4">
      <c r="A1234" s="43">
        <v>1231</v>
      </c>
      <c r="B1234" s="51" t="s">
        <v>3249</v>
      </c>
      <c r="C1234" s="72" t="s">
        <v>3250</v>
      </c>
      <c r="D1234" s="69" t="s">
        <v>21</v>
      </c>
    </row>
    <row r="1235" customHeight="1" spans="1:4">
      <c r="A1235" s="43">
        <v>1232</v>
      </c>
      <c r="B1235" s="51" t="s">
        <v>3251</v>
      </c>
      <c r="C1235" s="72" t="s">
        <v>3252</v>
      </c>
      <c r="D1235" s="69" t="s">
        <v>3234</v>
      </c>
    </row>
    <row r="1236" customHeight="1" spans="1:4">
      <c r="A1236" s="43">
        <v>1233</v>
      </c>
      <c r="B1236" s="51" t="s">
        <v>3253</v>
      </c>
      <c r="C1236" s="72" t="s">
        <v>3254</v>
      </c>
      <c r="D1236" s="69" t="s">
        <v>3234</v>
      </c>
    </row>
    <row r="1237" customHeight="1" spans="1:4">
      <c r="A1237" s="43">
        <v>1234</v>
      </c>
      <c r="B1237" s="51" t="s">
        <v>3255</v>
      </c>
      <c r="C1237" s="72" t="s">
        <v>3256</v>
      </c>
      <c r="D1237" s="69" t="s">
        <v>21</v>
      </c>
    </row>
    <row r="1238" customHeight="1" spans="1:4">
      <c r="A1238" s="43">
        <v>1235</v>
      </c>
      <c r="B1238" s="51" t="s">
        <v>3257</v>
      </c>
      <c r="C1238" s="72" t="s">
        <v>3258</v>
      </c>
      <c r="D1238" s="69" t="s">
        <v>21</v>
      </c>
    </row>
    <row r="1239" customHeight="1" spans="1:4">
      <c r="A1239" s="43">
        <v>1236</v>
      </c>
      <c r="B1239" s="51" t="s">
        <v>3259</v>
      </c>
      <c r="C1239" s="72" t="s">
        <v>3260</v>
      </c>
      <c r="D1239" s="69" t="s">
        <v>3246</v>
      </c>
    </row>
    <row r="1240" customHeight="1" spans="1:4">
      <c r="A1240" s="43">
        <v>1237</v>
      </c>
      <c r="B1240" s="74" t="s">
        <v>3261</v>
      </c>
      <c r="C1240" s="75" t="s">
        <v>3262</v>
      </c>
      <c r="D1240" s="76" t="s">
        <v>991</v>
      </c>
    </row>
    <row r="1241" customHeight="1" spans="1:4">
      <c r="A1241" s="43">
        <v>1238</v>
      </c>
      <c r="B1241" s="51" t="s">
        <v>3263</v>
      </c>
      <c r="C1241" s="72" t="s">
        <v>3264</v>
      </c>
      <c r="D1241" s="69" t="s">
        <v>21</v>
      </c>
    </row>
    <row r="1242" customHeight="1" spans="1:4">
      <c r="A1242" s="43">
        <v>1239</v>
      </c>
      <c r="B1242" s="51" t="s">
        <v>3265</v>
      </c>
      <c r="C1242" s="72" t="s">
        <v>3266</v>
      </c>
      <c r="D1242" s="69" t="s">
        <v>21</v>
      </c>
    </row>
    <row r="1243" customHeight="1" spans="1:4">
      <c r="A1243" s="43">
        <v>1240</v>
      </c>
      <c r="B1243" s="51" t="s">
        <v>3267</v>
      </c>
      <c r="C1243" s="72" t="s">
        <v>3268</v>
      </c>
      <c r="D1243" s="69" t="s">
        <v>21</v>
      </c>
    </row>
    <row r="1244" customHeight="1" spans="1:4">
      <c r="A1244" s="43">
        <v>1241</v>
      </c>
      <c r="B1244" s="74" t="s">
        <v>3269</v>
      </c>
      <c r="C1244" s="75" t="s">
        <v>3270</v>
      </c>
      <c r="D1244" s="76" t="s">
        <v>991</v>
      </c>
    </row>
    <row r="1245" customHeight="1" spans="1:4">
      <c r="A1245" s="43">
        <v>1242</v>
      </c>
      <c r="B1245" s="51" t="s">
        <v>3271</v>
      </c>
      <c r="C1245" s="72" t="s">
        <v>3272</v>
      </c>
      <c r="D1245" s="69" t="s">
        <v>21</v>
      </c>
    </row>
    <row r="1246" customHeight="1" spans="1:4">
      <c r="A1246" s="43">
        <v>1243</v>
      </c>
      <c r="B1246" s="51" t="s">
        <v>3273</v>
      </c>
      <c r="C1246" s="72" t="s">
        <v>3274</v>
      </c>
      <c r="D1246" s="69" t="s">
        <v>21</v>
      </c>
    </row>
    <row r="1247" customHeight="1" spans="1:4">
      <c r="A1247" s="43">
        <v>1244</v>
      </c>
      <c r="B1247" s="51" t="s">
        <v>3275</v>
      </c>
      <c r="C1247" s="72" t="s">
        <v>3276</v>
      </c>
      <c r="D1247" s="69" t="s">
        <v>21</v>
      </c>
    </row>
    <row r="1248" customHeight="1" spans="1:4">
      <c r="A1248" s="43">
        <v>1245</v>
      </c>
      <c r="B1248" s="51" t="s">
        <v>3277</v>
      </c>
      <c r="C1248" s="72" t="s">
        <v>3278</v>
      </c>
      <c r="D1248" s="69" t="s">
        <v>21</v>
      </c>
    </row>
    <row r="1249" customHeight="1" spans="1:4">
      <c r="A1249" s="43">
        <v>1246</v>
      </c>
      <c r="B1249" s="51" t="s">
        <v>3279</v>
      </c>
      <c r="C1249" s="72" t="s">
        <v>3280</v>
      </c>
      <c r="D1249" s="69" t="s">
        <v>3281</v>
      </c>
    </row>
    <row r="1250" customHeight="1" spans="1:4">
      <c r="A1250" s="43">
        <v>1247</v>
      </c>
      <c r="B1250" s="51" t="s">
        <v>3282</v>
      </c>
      <c r="C1250" s="72" t="s">
        <v>3283</v>
      </c>
      <c r="D1250" s="69" t="s">
        <v>21</v>
      </c>
    </row>
    <row r="1251" customHeight="1" spans="1:4">
      <c r="A1251" s="43">
        <v>1248</v>
      </c>
      <c r="B1251" s="51" t="s">
        <v>3284</v>
      </c>
      <c r="C1251" s="72" t="s">
        <v>3285</v>
      </c>
      <c r="D1251" s="69" t="s">
        <v>3246</v>
      </c>
    </row>
    <row r="1252" customHeight="1" spans="1:4">
      <c r="A1252" s="43">
        <v>1249</v>
      </c>
      <c r="B1252" s="51" t="s">
        <v>3286</v>
      </c>
      <c r="C1252" s="72" t="s">
        <v>3287</v>
      </c>
      <c r="D1252" s="69" t="s">
        <v>3281</v>
      </c>
    </row>
    <row r="1253" customHeight="1" spans="1:4">
      <c r="A1253" s="43">
        <v>1250</v>
      </c>
      <c r="B1253" s="51" t="s">
        <v>3288</v>
      </c>
      <c r="C1253" s="72" t="s">
        <v>3289</v>
      </c>
      <c r="D1253" s="69" t="s">
        <v>3281</v>
      </c>
    </row>
    <row r="1254" customHeight="1" spans="1:4">
      <c r="A1254" s="43">
        <v>1251</v>
      </c>
      <c r="B1254" s="51" t="s">
        <v>3290</v>
      </c>
      <c r="C1254" s="72" t="s">
        <v>3291</v>
      </c>
      <c r="D1254" s="69" t="s">
        <v>3281</v>
      </c>
    </row>
    <row r="1255" customHeight="1" spans="1:4">
      <c r="A1255" s="43">
        <v>1252</v>
      </c>
      <c r="B1255" s="51" t="s">
        <v>3292</v>
      </c>
      <c r="C1255" s="72" t="s">
        <v>3293</v>
      </c>
      <c r="D1255" s="69" t="s">
        <v>3281</v>
      </c>
    </row>
    <row r="1256" customHeight="1" spans="1:4">
      <c r="A1256" s="43">
        <v>1253</v>
      </c>
      <c r="B1256" s="51" t="s">
        <v>3294</v>
      </c>
      <c r="C1256" s="72" t="s">
        <v>3295</v>
      </c>
      <c r="D1256" s="69" t="s">
        <v>3281</v>
      </c>
    </row>
    <row r="1257" customHeight="1" spans="1:4">
      <c r="A1257" s="43">
        <v>1254</v>
      </c>
      <c r="B1257" s="51" t="s">
        <v>3296</v>
      </c>
      <c r="C1257" s="72" t="s">
        <v>3297</v>
      </c>
      <c r="D1257" s="69" t="s">
        <v>3281</v>
      </c>
    </row>
    <row r="1258" customHeight="1" spans="1:4">
      <c r="A1258" s="43">
        <v>1255</v>
      </c>
      <c r="B1258" s="51" t="s">
        <v>3298</v>
      </c>
      <c r="C1258" s="72" t="s">
        <v>3299</v>
      </c>
      <c r="D1258" s="69" t="s">
        <v>3281</v>
      </c>
    </row>
    <row r="1259" customHeight="1" spans="1:4">
      <c r="A1259" s="43">
        <v>1256</v>
      </c>
      <c r="B1259" s="51" t="s">
        <v>3300</v>
      </c>
      <c r="C1259" s="72" t="s">
        <v>3301</v>
      </c>
      <c r="D1259" s="69" t="s">
        <v>3281</v>
      </c>
    </row>
    <row r="1260" customHeight="1" spans="1:4">
      <c r="A1260" s="43">
        <v>1257</v>
      </c>
      <c r="B1260" s="51" t="s">
        <v>3302</v>
      </c>
      <c r="C1260" s="77" t="s">
        <v>3303</v>
      </c>
      <c r="D1260" s="53" t="s">
        <v>21</v>
      </c>
    </row>
    <row r="1261" customHeight="1" spans="1:4">
      <c r="A1261" s="43">
        <v>1258</v>
      </c>
      <c r="B1261" s="74" t="s">
        <v>3304</v>
      </c>
      <c r="C1261" s="75" t="s">
        <v>3305</v>
      </c>
      <c r="D1261" s="76" t="s">
        <v>3306</v>
      </c>
    </row>
    <row r="1262" customHeight="1" spans="1:4">
      <c r="A1262" s="43">
        <v>1259</v>
      </c>
      <c r="B1262" s="51" t="s">
        <v>3307</v>
      </c>
      <c r="C1262" s="72" t="s">
        <v>3308</v>
      </c>
      <c r="D1262" s="69" t="s">
        <v>21</v>
      </c>
    </row>
    <row r="1263" customHeight="1" spans="1:4">
      <c r="A1263" s="43">
        <v>1260</v>
      </c>
      <c r="B1263" s="74" t="s">
        <v>3309</v>
      </c>
      <c r="C1263" s="75" t="s">
        <v>3310</v>
      </c>
      <c r="D1263" s="76" t="s">
        <v>21</v>
      </c>
    </row>
    <row r="1264" customHeight="1" spans="1:4">
      <c r="A1264" s="43">
        <v>1261</v>
      </c>
      <c r="B1264" s="74" t="s">
        <v>3311</v>
      </c>
      <c r="C1264" s="75" t="s">
        <v>3312</v>
      </c>
      <c r="D1264" s="76" t="s">
        <v>21</v>
      </c>
    </row>
    <row r="1265" customHeight="1" spans="1:4">
      <c r="A1265" s="43">
        <v>1262</v>
      </c>
      <c r="B1265" s="74" t="s">
        <v>3313</v>
      </c>
      <c r="C1265" s="75" t="s">
        <v>3314</v>
      </c>
      <c r="D1265" s="76" t="s">
        <v>3246</v>
      </c>
    </row>
    <row r="1266" customHeight="1" spans="1:4">
      <c r="A1266" s="43">
        <v>1263</v>
      </c>
      <c r="B1266" s="74" t="s">
        <v>3315</v>
      </c>
      <c r="C1266" s="75" t="s">
        <v>3316</v>
      </c>
      <c r="D1266" s="76" t="s">
        <v>21</v>
      </c>
    </row>
    <row r="1267" customHeight="1" spans="1:4">
      <c r="A1267" s="43">
        <v>1264</v>
      </c>
      <c r="B1267" s="74" t="s">
        <v>3317</v>
      </c>
      <c r="C1267" s="75" t="s">
        <v>3318</v>
      </c>
      <c r="D1267" s="76" t="s">
        <v>3319</v>
      </c>
    </row>
    <row r="1268" customHeight="1" spans="1:4">
      <c r="A1268" s="43">
        <v>1265</v>
      </c>
      <c r="B1268" s="51" t="s">
        <v>3320</v>
      </c>
      <c r="C1268" s="72" t="s">
        <v>3321</v>
      </c>
      <c r="D1268" s="69" t="s">
        <v>3306</v>
      </c>
    </row>
    <row r="1269" customHeight="1" spans="1:4">
      <c r="A1269" s="43">
        <v>1266</v>
      </c>
      <c r="B1269" s="51" t="s">
        <v>3322</v>
      </c>
      <c r="C1269" s="72" t="s">
        <v>3323</v>
      </c>
      <c r="D1269" s="69" t="s">
        <v>3306</v>
      </c>
    </row>
    <row r="1270" customHeight="1" spans="1:4">
      <c r="A1270" s="43">
        <v>1267</v>
      </c>
      <c r="B1270" s="51" t="s">
        <v>3324</v>
      </c>
      <c r="C1270" s="72" t="s">
        <v>3325</v>
      </c>
      <c r="D1270" s="69" t="s">
        <v>21</v>
      </c>
    </row>
    <row r="1271" customHeight="1" spans="1:4">
      <c r="A1271" s="43">
        <v>1268</v>
      </c>
      <c r="B1271" s="74" t="s">
        <v>3326</v>
      </c>
      <c r="C1271" s="75" t="s">
        <v>3327</v>
      </c>
      <c r="D1271" s="76" t="s">
        <v>3306</v>
      </c>
    </row>
    <row r="1272" customHeight="1" spans="1:4">
      <c r="A1272" s="43">
        <v>1269</v>
      </c>
      <c r="B1272" s="74" t="s">
        <v>3328</v>
      </c>
      <c r="C1272" s="75" t="s">
        <v>3329</v>
      </c>
      <c r="D1272" s="76" t="s">
        <v>3306</v>
      </c>
    </row>
    <row r="1273" customHeight="1" spans="1:4">
      <c r="A1273" s="43">
        <v>1270</v>
      </c>
      <c r="B1273" s="51" t="s">
        <v>3330</v>
      </c>
      <c r="C1273" s="72" t="s">
        <v>3331</v>
      </c>
      <c r="D1273" s="69" t="s">
        <v>21</v>
      </c>
    </row>
    <row r="1274" customHeight="1" spans="1:4">
      <c r="A1274" s="43">
        <v>1271</v>
      </c>
      <c r="B1274" s="51" t="s">
        <v>3332</v>
      </c>
      <c r="C1274" s="72" t="s">
        <v>3333</v>
      </c>
      <c r="D1274" s="69" t="s">
        <v>21</v>
      </c>
    </row>
    <row r="1275" customHeight="1" spans="1:4">
      <c r="A1275" s="43">
        <v>1272</v>
      </c>
      <c r="B1275" s="51" t="s">
        <v>3334</v>
      </c>
      <c r="C1275" s="72" t="s">
        <v>3335</v>
      </c>
      <c r="D1275" s="69" t="s">
        <v>21</v>
      </c>
    </row>
    <row r="1276" customHeight="1" spans="1:4">
      <c r="A1276" s="43">
        <v>1273</v>
      </c>
      <c r="B1276" s="51" t="s">
        <v>3336</v>
      </c>
      <c r="C1276" s="72" t="s">
        <v>3337</v>
      </c>
      <c r="D1276" s="69" t="s">
        <v>21</v>
      </c>
    </row>
    <row r="1277" customHeight="1" spans="1:4">
      <c r="A1277" s="43">
        <v>1274</v>
      </c>
      <c r="B1277" s="51" t="s">
        <v>3338</v>
      </c>
      <c r="C1277" s="72" t="s">
        <v>3339</v>
      </c>
      <c r="D1277" s="69" t="s">
        <v>21</v>
      </c>
    </row>
    <row r="1278" customHeight="1" spans="1:4">
      <c r="A1278" s="43">
        <v>1275</v>
      </c>
      <c r="B1278" s="51" t="s">
        <v>3340</v>
      </c>
      <c r="C1278" s="72" t="s">
        <v>3341</v>
      </c>
      <c r="D1278" s="69" t="s">
        <v>21</v>
      </c>
    </row>
    <row r="1279" customHeight="1" spans="1:4">
      <c r="A1279" s="43">
        <v>1276</v>
      </c>
      <c r="B1279" s="51" t="s">
        <v>3342</v>
      </c>
      <c r="C1279" s="72" t="s">
        <v>3343</v>
      </c>
      <c r="D1279" s="69" t="s">
        <v>21</v>
      </c>
    </row>
    <row r="1280" customHeight="1" spans="1:4">
      <c r="A1280" s="43">
        <v>1277</v>
      </c>
      <c r="B1280" s="51" t="s">
        <v>3344</v>
      </c>
      <c r="C1280" s="72" t="s">
        <v>3345</v>
      </c>
      <c r="D1280" s="69" t="s">
        <v>21</v>
      </c>
    </row>
    <row r="1281" customHeight="1" spans="1:4">
      <c r="A1281" s="43">
        <v>1278</v>
      </c>
      <c r="B1281" s="51" t="s">
        <v>3346</v>
      </c>
      <c r="C1281" s="72" t="s">
        <v>3347</v>
      </c>
      <c r="D1281" s="69" t="s">
        <v>21</v>
      </c>
    </row>
    <row r="1282" customHeight="1" spans="1:4">
      <c r="A1282" s="43">
        <v>1279</v>
      </c>
      <c r="B1282" s="51" t="s">
        <v>3348</v>
      </c>
      <c r="C1282" s="72" t="s">
        <v>3349</v>
      </c>
      <c r="D1282" s="69" t="s">
        <v>21</v>
      </c>
    </row>
    <row r="1283" customHeight="1" spans="1:4">
      <c r="A1283" s="43">
        <v>1280</v>
      </c>
      <c r="B1283" s="51" t="s">
        <v>3350</v>
      </c>
      <c r="C1283" s="72" t="s">
        <v>3351</v>
      </c>
      <c r="D1283" s="69" t="s">
        <v>21</v>
      </c>
    </row>
    <row r="1284" customHeight="1" spans="1:4">
      <c r="A1284" s="43">
        <v>1281</v>
      </c>
      <c r="B1284" s="51" t="s">
        <v>3352</v>
      </c>
      <c r="C1284" s="72" t="s">
        <v>3353</v>
      </c>
      <c r="D1284" s="69" t="s">
        <v>21</v>
      </c>
    </row>
    <row r="1285" customHeight="1" spans="1:4">
      <c r="A1285" s="43">
        <v>1282</v>
      </c>
      <c r="B1285" s="51" t="s">
        <v>3354</v>
      </c>
      <c r="C1285" s="72" t="s">
        <v>3355</v>
      </c>
      <c r="D1285" s="69" t="s">
        <v>21</v>
      </c>
    </row>
    <row r="1286" customHeight="1" spans="1:4">
      <c r="A1286" s="43">
        <v>1283</v>
      </c>
      <c r="B1286" s="51" t="s">
        <v>3356</v>
      </c>
      <c r="C1286" s="72" t="s">
        <v>3357</v>
      </c>
      <c r="D1286" s="69" t="s">
        <v>21</v>
      </c>
    </row>
    <row r="1287" customHeight="1" spans="1:4">
      <c r="A1287" s="43">
        <v>1284</v>
      </c>
      <c r="B1287" s="51" t="s">
        <v>3358</v>
      </c>
      <c r="C1287" s="72" t="s">
        <v>3359</v>
      </c>
      <c r="D1287" s="69" t="s">
        <v>21</v>
      </c>
    </row>
    <row r="1288" customHeight="1" spans="1:4">
      <c r="A1288" s="43">
        <v>1285</v>
      </c>
      <c r="B1288" s="74" t="s">
        <v>3360</v>
      </c>
      <c r="C1288" s="75" t="s">
        <v>3361</v>
      </c>
      <c r="D1288" s="76" t="s">
        <v>991</v>
      </c>
    </row>
    <row r="1289" customHeight="1" spans="1:4">
      <c r="A1289" s="43">
        <v>1286</v>
      </c>
      <c r="B1289" s="51" t="s">
        <v>3362</v>
      </c>
      <c r="C1289" s="72" t="s">
        <v>3363</v>
      </c>
      <c r="D1289" s="69" t="s">
        <v>21</v>
      </c>
    </row>
    <row r="1290" customHeight="1" spans="1:4">
      <c r="A1290" s="43">
        <v>1287</v>
      </c>
      <c r="B1290" s="51" t="s">
        <v>3364</v>
      </c>
      <c r="C1290" s="72" t="s">
        <v>3365</v>
      </c>
      <c r="D1290" s="69" t="s">
        <v>21</v>
      </c>
    </row>
    <row r="1291" customHeight="1" spans="1:4">
      <c r="A1291" s="43">
        <v>1288</v>
      </c>
      <c r="B1291" s="51" t="s">
        <v>3366</v>
      </c>
      <c r="C1291" s="72" t="s">
        <v>3367</v>
      </c>
      <c r="D1291" s="69" t="s">
        <v>21</v>
      </c>
    </row>
    <row r="1292" customHeight="1" spans="1:4">
      <c r="A1292" s="43">
        <v>1289</v>
      </c>
      <c r="B1292" s="51" t="s">
        <v>3368</v>
      </c>
      <c r="C1292" s="72" t="s">
        <v>3369</v>
      </c>
      <c r="D1292" s="69" t="s">
        <v>21</v>
      </c>
    </row>
    <row r="1293" customHeight="1" spans="1:4">
      <c r="A1293" s="43">
        <v>1290</v>
      </c>
      <c r="B1293" s="51" t="s">
        <v>3370</v>
      </c>
      <c r="C1293" s="72" t="s">
        <v>3371</v>
      </c>
      <c r="D1293" s="69" t="s">
        <v>21</v>
      </c>
    </row>
    <row r="1294" customHeight="1" spans="1:4">
      <c r="A1294" s="43">
        <v>1291</v>
      </c>
      <c r="B1294" s="51" t="s">
        <v>3372</v>
      </c>
      <c r="C1294" s="72" t="s">
        <v>3373</v>
      </c>
      <c r="D1294" s="69" t="s">
        <v>21</v>
      </c>
    </row>
    <row r="1295" customHeight="1" spans="1:4">
      <c r="A1295" s="43">
        <v>1292</v>
      </c>
      <c r="B1295" s="51" t="s">
        <v>3374</v>
      </c>
      <c r="C1295" s="72" t="s">
        <v>3375</v>
      </c>
      <c r="D1295" s="69" t="s">
        <v>21</v>
      </c>
    </row>
    <row r="1296" customHeight="1" spans="1:4">
      <c r="A1296" s="43">
        <v>1293</v>
      </c>
      <c r="B1296" s="51" t="s">
        <v>3376</v>
      </c>
      <c r="C1296" s="78" t="s">
        <v>3377</v>
      </c>
      <c r="D1296" s="79" t="s">
        <v>21</v>
      </c>
    </row>
    <row r="1297" customHeight="1" spans="1:4">
      <c r="A1297" s="43">
        <v>1294</v>
      </c>
      <c r="B1297" s="51" t="s">
        <v>3378</v>
      </c>
      <c r="C1297" s="80" t="s">
        <v>3379</v>
      </c>
      <c r="D1297" s="81" t="s">
        <v>21</v>
      </c>
    </row>
    <row r="1298" customHeight="1" spans="1:4">
      <c r="A1298" s="43">
        <v>1295</v>
      </c>
      <c r="B1298" s="51" t="s">
        <v>3380</v>
      </c>
      <c r="C1298" s="72" t="s">
        <v>3381</v>
      </c>
      <c r="D1298" s="69" t="s">
        <v>21</v>
      </c>
    </row>
    <row r="1299" customHeight="1" spans="1:4">
      <c r="A1299" s="43">
        <v>1296</v>
      </c>
      <c r="B1299" s="51" t="s">
        <v>3382</v>
      </c>
      <c r="C1299" s="72" t="s">
        <v>3383</v>
      </c>
      <c r="D1299" s="69" t="s">
        <v>21</v>
      </c>
    </row>
    <row r="1300" customHeight="1" spans="1:4">
      <c r="A1300" s="43">
        <v>1297</v>
      </c>
      <c r="B1300" s="51" t="s">
        <v>3384</v>
      </c>
      <c r="C1300" s="72" t="s">
        <v>3385</v>
      </c>
      <c r="D1300" s="69" t="s">
        <v>21</v>
      </c>
    </row>
    <row r="1301" customHeight="1" spans="1:4">
      <c r="A1301" s="43">
        <v>1298</v>
      </c>
      <c r="B1301" s="51" t="s">
        <v>3386</v>
      </c>
      <c r="C1301" s="72" t="s">
        <v>3387</v>
      </c>
      <c r="D1301" s="69" t="s">
        <v>21</v>
      </c>
    </row>
    <row r="1302" customHeight="1" spans="1:4">
      <c r="A1302" s="43">
        <v>1299</v>
      </c>
      <c r="B1302" s="51" t="s">
        <v>3388</v>
      </c>
      <c r="C1302" s="72" t="s">
        <v>3389</v>
      </c>
      <c r="D1302" s="69" t="s">
        <v>21</v>
      </c>
    </row>
    <row r="1303" customHeight="1" spans="1:4">
      <c r="A1303" s="43">
        <v>1300</v>
      </c>
      <c r="B1303" s="51" t="s">
        <v>3390</v>
      </c>
      <c r="C1303" s="72" t="s">
        <v>3391</v>
      </c>
      <c r="D1303" s="69" t="s">
        <v>21</v>
      </c>
    </row>
    <row r="1304" customHeight="1" spans="1:4">
      <c r="A1304" s="43">
        <v>1301</v>
      </c>
      <c r="B1304" s="51" t="s">
        <v>3392</v>
      </c>
      <c r="C1304" s="72" t="s">
        <v>3393</v>
      </c>
      <c r="D1304" s="69" t="s">
        <v>21</v>
      </c>
    </row>
    <row r="1305" customHeight="1" spans="1:4">
      <c r="A1305" s="43">
        <v>1302</v>
      </c>
      <c r="B1305" s="51" t="s">
        <v>3394</v>
      </c>
      <c r="C1305" s="72" t="s">
        <v>3395</v>
      </c>
      <c r="D1305" s="69" t="s">
        <v>21</v>
      </c>
    </row>
    <row r="1306" customHeight="1" spans="1:4">
      <c r="A1306" s="43">
        <v>1303</v>
      </c>
      <c r="B1306" s="51" t="s">
        <v>3396</v>
      </c>
      <c r="C1306" s="72" t="s">
        <v>3397</v>
      </c>
      <c r="D1306" s="69" t="s">
        <v>21</v>
      </c>
    </row>
    <row r="1307" customHeight="1" spans="1:4">
      <c r="A1307" s="43">
        <v>1304</v>
      </c>
      <c r="B1307" s="51" t="s">
        <v>3398</v>
      </c>
      <c r="C1307" s="72" t="s">
        <v>3399</v>
      </c>
      <c r="D1307" s="69" t="s">
        <v>21</v>
      </c>
    </row>
    <row r="1308" customHeight="1" spans="1:4">
      <c r="A1308" s="43">
        <v>1305</v>
      </c>
      <c r="B1308" s="51" t="s">
        <v>3400</v>
      </c>
      <c r="C1308" s="72" t="s">
        <v>3401</v>
      </c>
      <c r="D1308" s="69" t="s">
        <v>21</v>
      </c>
    </row>
    <row r="1309" customHeight="1" spans="1:4">
      <c r="A1309" s="43">
        <v>1306</v>
      </c>
      <c r="B1309" s="51" t="s">
        <v>3402</v>
      </c>
      <c r="C1309" s="72" t="s">
        <v>3403</v>
      </c>
      <c r="D1309" s="69" t="s">
        <v>21</v>
      </c>
    </row>
    <row r="1310" customHeight="1" spans="1:4">
      <c r="A1310" s="43">
        <v>1307</v>
      </c>
      <c r="B1310" s="51" t="s">
        <v>3404</v>
      </c>
      <c r="C1310" s="72" t="s">
        <v>3405</v>
      </c>
      <c r="D1310" s="69" t="s">
        <v>21</v>
      </c>
    </row>
    <row r="1311" customHeight="1" spans="1:4">
      <c r="A1311" s="43">
        <v>1308</v>
      </c>
      <c r="B1311" s="51" t="s">
        <v>3406</v>
      </c>
      <c r="C1311" s="72" t="s">
        <v>3407</v>
      </c>
      <c r="D1311" s="69" t="s">
        <v>21</v>
      </c>
    </row>
    <row r="1312" customHeight="1" spans="1:4">
      <c r="A1312" s="43">
        <v>1309</v>
      </c>
      <c r="B1312" s="51" t="s">
        <v>3408</v>
      </c>
      <c r="C1312" s="72" t="s">
        <v>3409</v>
      </c>
      <c r="D1312" s="69" t="s">
        <v>21</v>
      </c>
    </row>
    <row r="1313" customHeight="1" spans="1:4">
      <c r="A1313" s="43">
        <v>1310</v>
      </c>
      <c r="B1313" s="51" t="s">
        <v>3410</v>
      </c>
      <c r="C1313" s="72" t="s">
        <v>3411</v>
      </c>
      <c r="D1313" s="69" t="s">
        <v>21</v>
      </c>
    </row>
    <row r="1314" customHeight="1" spans="1:4">
      <c r="A1314" s="43">
        <v>1311</v>
      </c>
      <c r="B1314" s="51" t="s">
        <v>3412</v>
      </c>
      <c r="C1314" s="72" t="s">
        <v>3413</v>
      </c>
      <c r="D1314" s="69" t="s">
        <v>21</v>
      </c>
    </row>
    <row r="1315" customHeight="1" spans="1:4">
      <c r="A1315" s="43">
        <v>1312</v>
      </c>
      <c r="B1315" s="51" t="s">
        <v>3414</v>
      </c>
      <c r="C1315" s="72" t="s">
        <v>3415</v>
      </c>
      <c r="D1315" s="69" t="s">
        <v>21</v>
      </c>
    </row>
    <row r="1316" customHeight="1" spans="1:4">
      <c r="A1316" s="43">
        <v>1313</v>
      </c>
      <c r="B1316" s="51" t="s">
        <v>3416</v>
      </c>
      <c r="C1316" s="72" t="s">
        <v>3417</v>
      </c>
      <c r="D1316" s="69" t="s">
        <v>21</v>
      </c>
    </row>
    <row r="1317" customHeight="1" spans="1:4">
      <c r="A1317" s="43">
        <v>1314</v>
      </c>
      <c r="B1317" s="51" t="s">
        <v>3418</v>
      </c>
      <c r="C1317" s="72" t="s">
        <v>3419</v>
      </c>
      <c r="D1317" s="69" t="s">
        <v>21</v>
      </c>
    </row>
    <row r="1318" customHeight="1" spans="1:4">
      <c r="A1318" s="43">
        <v>1315</v>
      </c>
      <c r="B1318" s="51" t="s">
        <v>3420</v>
      </c>
      <c r="C1318" s="72" t="s">
        <v>3421</v>
      </c>
      <c r="D1318" s="69" t="s">
        <v>21</v>
      </c>
    </row>
    <row r="1319" customHeight="1" spans="1:4">
      <c r="A1319" s="43">
        <v>1316</v>
      </c>
      <c r="B1319" s="51" t="s">
        <v>3422</v>
      </c>
      <c r="C1319" s="72" t="s">
        <v>3423</v>
      </c>
      <c r="D1319" s="69" t="s">
        <v>21</v>
      </c>
    </row>
    <row r="1320" customHeight="1" spans="1:4">
      <c r="A1320" s="43">
        <v>1317</v>
      </c>
      <c r="B1320" s="51" t="s">
        <v>3424</v>
      </c>
      <c r="C1320" s="72" t="s">
        <v>3425</v>
      </c>
      <c r="D1320" s="69" t="s">
        <v>21</v>
      </c>
    </row>
    <row r="1321" customHeight="1" spans="1:4">
      <c r="A1321" s="43">
        <v>1318</v>
      </c>
      <c r="B1321" s="51" t="s">
        <v>3426</v>
      </c>
      <c r="C1321" s="72" t="s">
        <v>3427</v>
      </c>
      <c r="D1321" s="69" t="s">
        <v>21</v>
      </c>
    </row>
    <row r="1322" customHeight="1" spans="1:4">
      <c r="A1322" s="43">
        <v>1319</v>
      </c>
      <c r="B1322" s="51" t="s">
        <v>3428</v>
      </c>
      <c r="C1322" s="72" t="s">
        <v>3429</v>
      </c>
      <c r="D1322" s="69" t="s">
        <v>21</v>
      </c>
    </row>
    <row r="1323" customHeight="1" spans="1:4">
      <c r="A1323" s="43">
        <v>1320</v>
      </c>
      <c r="B1323" s="51" t="s">
        <v>3430</v>
      </c>
      <c r="C1323" s="72" t="s">
        <v>3431</v>
      </c>
      <c r="D1323" s="69" t="s">
        <v>21</v>
      </c>
    </row>
    <row r="1324" customHeight="1" spans="1:4">
      <c r="A1324" s="43">
        <v>1321</v>
      </c>
      <c r="B1324" s="51" t="s">
        <v>3432</v>
      </c>
      <c r="C1324" s="72" t="s">
        <v>3433</v>
      </c>
      <c r="D1324" s="69" t="s">
        <v>21</v>
      </c>
    </row>
    <row r="1325" customHeight="1" spans="1:4">
      <c r="A1325" s="43">
        <v>1322</v>
      </c>
      <c r="B1325" s="51" t="s">
        <v>3434</v>
      </c>
      <c r="C1325" s="72" t="s">
        <v>3435</v>
      </c>
      <c r="D1325" s="69" t="s">
        <v>21</v>
      </c>
    </row>
    <row r="1326" customHeight="1" spans="1:4">
      <c r="A1326" s="43">
        <v>1323</v>
      </c>
      <c r="B1326" s="51" t="s">
        <v>3436</v>
      </c>
      <c r="C1326" s="72" t="s">
        <v>3437</v>
      </c>
      <c r="D1326" s="69" t="s">
        <v>21</v>
      </c>
    </row>
    <row r="1327" customHeight="1" spans="1:4">
      <c r="A1327" s="43">
        <v>1324</v>
      </c>
      <c r="B1327" s="51" t="s">
        <v>3438</v>
      </c>
      <c r="C1327" s="72" t="s">
        <v>3439</v>
      </c>
      <c r="D1327" s="69" t="s">
        <v>21</v>
      </c>
    </row>
    <row r="1328" customHeight="1" spans="1:4">
      <c r="A1328" s="43">
        <v>1325</v>
      </c>
      <c r="B1328" s="51" t="s">
        <v>3440</v>
      </c>
      <c r="C1328" s="72" t="s">
        <v>3441</v>
      </c>
      <c r="D1328" s="69" t="s">
        <v>21</v>
      </c>
    </row>
    <row r="1329" customHeight="1" spans="1:4">
      <c r="A1329" s="43">
        <v>1326</v>
      </c>
      <c r="B1329" s="51" t="s">
        <v>3442</v>
      </c>
      <c r="C1329" s="72" t="s">
        <v>3443</v>
      </c>
      <c r="D1329" s="69" t="s">
        <v>21</v>
      </c>
    </row>
    <row r="1330" customHeight="1" spans="1:4">
      <c r="A1330" s="43">
        <v>1327</v>
      </c>
      <c r="B1330" s="51" t="s">
        <v>3444</v>
      </c>
      <c r="C1330" s="72" t="s">
        <v>3445</v>
      </c>
      <c r="D1330" s="69" t="s">
        <v>21</v>
      </c>
    </row>
    <row r="1331" customHeight="1" spans="1:4">
      <c r="A1331" s="43">
        <v>1328</v>
      </c>
      <c r="B1331" s="51" t="s">
        <v>3446</v>
      </c>
      <c r="C1331" s="72" t="s">
        <v>3447</v>
      </c>
      <c r="D1331" s="69" t="s">
        <v>21</v>
      </c>
    </row>
    <row r="1332" customHeight="1" spans="1:4">
      <c r="A1332" s="43">
        <v>1329</v>
      </c>
      <c r="B1332" s="51" t="s">
        <v>3448</v>
      </c>
      <c r="C1332" s="72" t="s">
        <v>3449</v>
      </c>
      <c r="D1332" s="69" t="s">
        <v>21</v>
      </c>
    </row>
    <row r="1333" customHeight="1" spans="1:4">
      <c r="A1333" s="43">
        <v>1330</v>
      </c>
      <c r="B1333" s="51" t="s">
        <v>3450</v>
      </c>
      <c r="C1333" s="72" t="s">
        <v>3451</v>
      </c>
      <c r="D1333" s="69" t="s">
        <v>991</v>
      </c>
    </row>
    <row r="1334" customHeight="1" spans="1:4">
      <c r="A1334" s="43">
        <v>1331</v>
      </c>
      <c r="B1334" s="51" t="s">
        <v>3452</v>
      </c>
      <c r="C1334" s="72" t="s">
        <v>3453</v>
      </c>
      <c r="D1334" s="69" t="s">
        <v>3454</v>
      </c>
    </row>
    <row r="1335" customHeight="1" spans="1:4">
      <c r="A1335" s="43">
        <v>1332</v>
      </c>
      <c r="B1335" s="51" t="s">
        <v>3455</v>
      </c>
      <c r="C1335" s="72" t="s">
        <v>3456</v>
      </c>
      <c r="D1335" s="69" t="s">
        <v>991</v>
      </c>
    </row>
    <row r="1336" customHeight="1" spans="1:4">
      <c r="A1336" s="43">
        <v>1333</v>
      </c>
      <c r="B1336" s="51" t="s">
        <v>3457</v>
      </c>
      <c r="C1336" s="72" t="s">
        <v>3458</v>
      </c>
      <c r="D1336" s="69" t="s">
        <v>21</v>
      </c>
    </row>
    <row r="1337" customHeight="1" spans="1:4">
      <c r="A1337" s="43">
        <v>1334</v>
      </c>
      <c r="B1337" s="51" t="s">
        <v>3459</v>
      </c>
      <c r="C1337" s="72" t="s">
        <v>3460</v>
      </c>
      <c r="D1337" s="69" t="s">
        <v>21</v>
      </c>
    </row>
    <row r="1338" customHeight="1" spans="1:4">
      <c r="A1338" s="43">
        <v>1335</v>
      </c>
      <c r="B1338" s="51" t="s">
        <v>3461</v>
      </c>
      <c r="C1338" s="72" t="s">
        <v>3462</v>
      </c>
      <c r="D1338" s="69" t="s">
        <v>21</v>
      </c>
    </row>
    <row r="1339" customHeight="1" spans="1:4">
      <c r="A1339" s="43">
        <v>1336</v>
      </c>
      <c r="B1339" s="51" t="s">
        <v>3463</v>
      </c>
      <c r="C1339" s="72" t="s">
        <v>3464</v>
      </c>
      <c r="D1339" s="69" t="s">
        <v>21</v>
      </c>
    </row>
    <row r="1340" customHeight="1" spans="1:4">
      <c r="A1340" s="43">
        <v>1337</v>
      </c>
      <c r="B1340" s="51" t="s">
        <v>3465</v>
      </c>
      <c r="C1340" s="72" t="s">
        <v>3466</v>
      </c>
      <c r="D1340" s="69" t="s">
        <v>21</v>
      </c>
    </row>
    <row r="1341" customHeight="1" spans="1:4">
      <c r="A1341" s="43">
        <v>1338</v>
      </c>
      <c r="B1341" s="51" t="s">
        <v>3467</v>
      </c>
      <c r="C1341" s="72" t="s">
        <v>3468</v>
      </c>
      <c r="D1341" s="69" t="s">
        <v>21</v>
      </c>
    </row>
    <row r="1342" customHeight="1" spans="1:4">
      <c r="A1342" s="43">
        <v>1339</v>
      </c>
      <c r="B1342" s="51" t="s">
        <v>3469</v>
      </c>
      <c r="C1342" s="72" t="s">
        <v>3470</v>
      </c>
      <c r="D1342" s="69" t="s">
        <v>21</v>
      </c>
    </row>
    <row r="1343" customHeight="1" spans="1:4">
      <c r="A1343" s="43">
        <v>1340</v>
      </c>
      <c r="B1343" s="51" t="s">
        <v>3471</v>
      </c>
      <c r="C1343" s="72" t="s">
        <v>3472</v>
      </c>
      <c r="D1343" s="69" t="s">
        <v>21</v>
      </c>
    </row>
    <row r="1344" customHeight="1" spans="1:4">
      <c r="A1344" s="43">
        <v>1341</v>
      </c>
      <c r="B1344" s="51" t="s">
        <v>3473</v>
      </c>
      <c r="C1344" s="72" t="s">
        <v>3474</v>
      </c>
      <c r="D1344" s="69" t="s">
        <v>21</v>
      </c>
    </row>
    <row r="1345" customHeight="1" spans="1:4">
      <c r="A1345" s="43">
        <v>1342</v>
      </c>
      <c r="B1345" s="51" t="s">
        <v>3475</v>
      </c>
      <c r="C1345" s="72" t="s">
        <v>3476</v>
      </c>
      <c r="D1345" s="69" t="s">
        <v>21</v>
      </c>
    </row>
    <row r="1346" customHeight="1" spans="1:4">
      <c r="A1346" s="43">
        <v>1343</v>
      </c>
      <c r="B1346" s="51" t="s">
        <v>3477</v>
      </c>
      <c r="C1346" s="72" t="s">
        <v>3478</v>
      </c>
      <c r="D1346" s="69" t="s">
        <v>21</v>
      </c>
    </row>
    <row r="1347" customHeight="1" spans="1:4">
      <c r="A1347" s="43">
        <v>1344</v>
      </c>
      <c r="B1347" s="51" t="s">
        <v>3479</v>
      </c>
      <c r="C1347" s="72" t="s">
        <v>3480</v>
      </c>
      <c r="D1347" s="69" t="s">
        <v>21</v>
      </c>
    </row>
    <row r="1348" customHeight="1" spans="1:4">
      <c r="A1348" s="43">
        <v>1345</v>
      </c>
      <c r="B1348" s="51" t="s">
        <v>3481</v>
      </c>
      <c r="C1348" s="72" t="s">
        <v>3482</v>
      </c>
      <c r="D1348" s="69" t="s">
        <v>21</v>
      </c>
    </row>
    <row r="1349" customHeight="1" spans="1:4">
      <c r="A1349" s="43">
        <v>1346</v>
      </c>
      <c r="B1349" s="51" t="s">
        <v>3483</v>
      </c>
      <c r="C1349" s="72" t="s">
        <v>3484</v>
      </c>
      <c r="D1349" s="69" t="s">
        <v>21</v>
      </c>
    </row>
    <row r="1350" customHeight="1" spans="1:4">
      <c r="A1350" s="43">
        <v>1347</v>
      </c>
      <c r="B1350" s="51" t="s">
        <v>3485</v>
      </c>
      <c r="C1350" s="72" t="s">
        <v>3486</v>
      </c>
      <c r="D1350" s="69" t="s">
        <v>21</v>
      </c>
    </row>
    <row r="1351" customHeight="1" spans="1:4">
      <c r="A1351" s="43">
        <v>1348</v>
      </c>
      <c r="B1351" s="51" t="s">
        <v>3487</v>
      </c>
      <c r="C1351" s="72" t="s">
        <v>3488</v>
      </c>
      <c r="D1351" s="69" t="s">
        <v>21</v>
      </c>
    </row>
    <row r="1352" customHeight="1" spans="1:4">
      <c r="A1352" s="43">
        <v>1349</v>
      </c>
      <c r="B1352" s="51" t="s">
        <v>3489</v>
      </c>
      <c r="C1352" s="72" t="s">
        <v>3490</v>
      </c>
      <c r="D1352" s="69" t="s">
        <v>21</v>
      </c>
    </row>
    <row r="1353" customHeight="1" spans="1:4">
      <c r="A1353" s="43">
        <v>1350</v>
      </c>
      <c r="B1353" s="51" t="s">
        <v>3491</v>
      </c>
      <c r="C1353" s="72" t="s">
        <v>3492</v>
      </c>
      <c r="D1353" s="69" t="s">
        <v>3234</v>
      </c>
    </row>
    <row r="1354" customHeight="1" spans="1:4">
      <c r="A1354" s="43">
        <v>1351</v>
      </c>
      <c r="B1354" s="51" t="s">
        <v>3493</v>
      </c>
      <c r="C1354" s="72" t="s">
        <v>3494</v>
      </c>
      <c r="D1354" s="69" t="s">
        <v>3234</v>
      </c>
    </row>
    <row r="1355" customHeight="1" spans="1:4">
      <c r="A1355" s="43">
        <v>1352</v>
      </c>
      <c r="B1355" s="51" t="s">
        <v>3495</v>
      </c>
      <c r="C1355" s="72" t="s">
        <v>3496</v>
      </c>
      <c r="D1355" s="69" t="s">
        <v>3234</v>
      </c>
    </row>
    <row r="1356" customHeight="1" spans="1:4">
      <c r="A1356" s="43">
        <v>1353</v>
      </c>
      <c r="B1356" s="51" t="s">
        <v>3497</v>
      </c>
      <c r="C1356" s="72" t="s">
        <v>3498</v>
      </c>
      <c r="D1356" s="69" t="s">
        <v>21</v>
      </c>
    </row>
    <row r="1357" customHeight="1" spans="1:4">
      <c r="A1357" s="43">
        <v>1354</v>
      </c>
      <c r="B1357" s="51" t="s">
        <v>3499</v>
      </c>
      <c r="C1357" s="72" t="s">
        <v>3500</v>
      </c>
      <c r="D1357" s="69" t="s">
        <v>21</v>
      </c>
    </row>
    <row r="1358" customHeight="1" spans="1:4">
      <c r="A1358" s="43">
        <v>1355</v>
      </c>
      <c r="B1358" s="51" t="s">
        <v>3501</v>
      </c>
      <c r="C1358" s="72" t="s">
        <v>3502</v>
      </c>
      <c r="D1358" s="69" t="s">
        <v>21</v>
      </c>
    </row>
    <row r="1359" customHeight="1" spans="1:4">
      <c r="A1359" s="43">
        <v>1356</v>
      </c>
      <c r="B1359" s="51" t="s">
        <v>3503</v>
      </c>
      <c r="C1359" s="72" t="s">
        <v>3504</v>
      </c>
      <c r="D1359" s="69" t="s">
        <v>21</v>
      </c>
    </row>
    <row r="1360" customHeight="1" spans="1:4">
      <c r="A1360" s="43">
        <v>1357</v>
      </c>
      <c r="B1360" s="74" t="s">
        <v>3505</v>
      </c>
      <c r="C1360" s="75" t="s">
        <v>3506</v>
      </c>
      <c r="D1360" s="76" t="s">
        <v>21</v>
      </c>
    </row>
    <row r="1361" customHeight="1" spans="1:4">
      <c r="A1361" s="43">
        <v>1358</v>
      </c>
      <c r="B1361" s="51" t="s">
        <v>3507</v>
      </c>
      <c r="C1361" s="72" t="s">
        <v>3508</v>
      </c>
      <c r="D1361" s="69" t="s">
        <v>21</v>
      </c>
    </row>
    <row r="1362" customHeight="1" spans="1:4">
      <c r="A1362" s="43">
        <v>1359</v>
      </c>
      <c r="B1362" s="51" t="s">
        <v>3509</v>
      </c>
      <c r="C1362" s="72" t="s">
        <v>3510</v>
      </c>
      <c r="D1362" s="69" t="s">
        <v>21</v>
      </c>
    </row>
    <row r="1363" customHeight="1" spans="1:4">
      <c r="A1363" s="43">
        <v>1360</v>
      </c>
      <c r="B1363" s="51" t="s">
        <v>3511</v>
      </c>
      <c r="C1363" s="72" t="s">
        <v>3512</v>
      </c>
      <c r="D1363" s="69" t="s">
        <v>21</v>
      </c>
    </row>
    <row r="1364" customHeight="1" spans="1:4">
      <c r="A1364" s="43">
        <v>1361</v>
      </c>
      <c r="B1364" s="51" t="s">
        <v>3513</v>
      </c>
      <c r="C1364" s="72" t="s">
        <v>3514</v>
      </c>
      <c r="D1364" s="69" t="s">
        <v>21</v>
      </c>
    </row>
    <row r="1365" customHeight="1" spans="1:4">
      <c r="A1365" s="43">
        <v>1362</v>
      </c>
      <c r="B1365" s="51" t="s">
        <v>3515</v>
      </c>
      <c r="C1365" s="72" t="s">
        <v>3516</v>
      </c>
      <c r="D1365" s="69" t="s">
        <v>21</v>
      </c>
    </row>
    <row r="1366" customHeight="1" spans="1:4">
      <c r="A1366" s="43">
        <v>1363</v>
      </c>
      <c r="B1366" s="51" t="s">
        <v>3517</v>
      </c>
      <c r="C1366" s="72" t="s">
        <v>3518</v>
      </c>
      <c r="D1366" s="69" t="s">
        <v>21</v>
      </c>
    </row>
    <row r="1367" customHeight="1" spans="1:4">
      <c r="A1367" s="43">
        <v>1364</v>
      </c>
      <c r="B1367" s="69" t="s">
        <v>3519</v>
      </c>
      <c r="C1367" s="72" t="s">
        <v>3520</v>
      </c>
      <c r="D1367" s="69" t="s">
        <v>21</v>
      </c>
    </row>
    <row r="1368" customHeight="1" spans="1:4">
      <c r="A1368" s="43">
        <v>1365</v>
      </c>
      <c r="B1368" s="69" t="s">
        <v>3521</v>
      </c>
      <c r="C1368" s="72" t="s">
        <v>3522</v>
      </c>
      <c r="D1368" s="69" t="s">
        <v>21</v>
      </c>
    </row>
    <row r="1369" customHeight="1" spans="1:4">
      <c r="A1369" s="43">
        <v>1366</v>
      </c>
      <c r="B1369" s="51" t="s">
        <v>3523</v>
      </c>
      <c r="C1369" s="72" t="s">
        <v>3524</v>
      </c>
      <c r="D1369" s="69" t="s">
        <v>21</v>
      </c>
    </row>
    <row r="1370" customHeight="1" spans="1:4">
      <c r="A1370" s="43">
        <v>1367</v>
      </c>
      <c r="B1370" s="51" t="s">
        <v>3525</v>
      </c>
      <c r="C1370" s="72" t="s">
        <v>3526</v>
      </c>
      <c r="D1370" s="69" t="s">
        <v>21</v>
      </c>
    </row>
    <row r="1371" customHeight="1" spans="1:4">
      <c r="A1371" s="43">
        <v>1368</v>
      </c>
      <c r="B1371" s="51" t="s">
        <v>3527</v>
      </c>
      <c r="C1371" s="72" t="s">
        <v>3528</v>
      </c>
      <c r="D1371" s="69" t="s">
        <v>21</v>
      </c>
    </row>
    <row r="1372" customHeight="1" spans="1:4">
      <c r="A1372" s="43">
        <v>1369</v>
      </c>
      <c r="B1372" s="51" t="s">
        <v>3529</v>
      </c>
      <c r="C1372" s="72" t="s">
        <v>3530</v>
      </c>
      <c r="D1372" s="69" t="s">
        <v>21</v>
      </c>
    </row>
    <row r="1373" customHeight="1" spans="1:4">
      <c r="A1373" s="43">
        <v>1370</v>
      </c>
      <c r="B1373" s="51" t="s">
        <v>3531</v>
      </c>
      <c r="C1373" s="72" t="s">
        <v>3532</v>
      </c>
      <c r="D1373" s="69" t="s">
        <v>21</v>
      </c>
    </row>
    <row r="1374" customHeight="1" spans="1:4">
      <c r="A1374" s="43">
        <v>1371</v>
      </c>
      <c r="B1374" s="51" t="s">
        <v>3533</v>
      </c>
      <c r="C1374" s="72" t="s">
        <v>3534</v>
      </c>
      <c r="D1374" s="69" t="s">
        <v>21</v>
      </c>
    </row>
    <row r="1375" customHeight="1" spans="1:4">
      <c r="A1375" s="43">
        <v>1372</v>
      </c>
      <c r="B1375" s="51" t="s">
        <v>3535</v>
      </c>
      <c r="C1375" s="72" t="s">
        <v>3536</v>
      </c>
      <c r="D1375" s="69" t="s">
        <v>21</v>
      </c>
    </row>
    <row r="1376" customHeight="1" spans="1:4">
      <c r="A1376" s="43">
        <v>1373</v>
      </c>
      <c r="B1376" s="51" t="s">
        <v>3537</v>
      </c>
      <c r="C1376" s="72" t="s">
        <v>3538</v>
      </c>
      <c r="D1376" s="69" t="s">
        <v>21</v>
      </c>
    </row>
    <row r="1377" customHeight="1" spans="1:4">
      <c r="A1377" s="43">
        <v>1374</v>
      </c>
      <c r="B1377" s="51" t="s">
        <v>3539</v>
      </c>
      <c r="C1377" s="72" t="s">
        <v>3540</v>
      </c>
      <c r="D1377" s="69" t="s">
        <v>21</v>
      </c>
    </row>
    <row r="1378" customHeight="1" spans="1:4">
      <c r="A1378" s="43">
        <v>1375</v>
      </c>
      <c r="B1378" s="51" t="s">
        <v>3541</v>
      </c>
      <c r="C1378" s="72" t="s">
        <v>3542</v>
      </c>
      <c r="D1378" s="69" t="s">
        <v>21</v>
      </c>
    </row>
    <row r="1379" customHeight="1" spans="1:4">
      <c r="A1379" s="43">
        <v>1376</v>
      </c>
      <c r="B1379" s="51" t="s">
        <v>3543</v>
      </c>
      <c r="C1379" s="72" t="s">
        <v>3544</v>
      </c>
      <c r="D1379" s="69" t="s">
        <v>21</v>
      </c>
    </row>
    <row r="1380" customHeight="1" spans="1:4">
      <c r="A1380" s="43">
        <v>1377</v>
      </c>
      <c r="B1380" s="51" t="s">
        <v>3545</v>
      </c>
      <c r="C1380" s="72" t="s">
        <v>3546</v>
      </c>
      <c r="D1380" s="69" t="s">
        <v>2072</v>
      </c>
    </row>
    <row r="1381" customHeight="1" spans="1:4">
      <c r="A1381" s="43">
        <v>1378</v>
      </c>
      <c r="B1381" s="51" t="s">
        <v>3547</v>
      </c>
      <c r="C1381" s="72" t="s">
        <v>3548</v>
      </c>
      <c r="D1381" s="69" t="s">
        <v>21</v>
      </c>
    </row>
    <row r="1382" customHeight="1" spans="1:4">
      <c r="A1382" s="43">
        <v>1379</v>
      </c>
      <c r="B1382" s="51" t="s">
        <v>3549</v>
      </c>
      <c r="C1382" s="72" t="s">
        <v>3550</v>
      </c>
      <c r="D1382" s="69" t="s">
        <v>21</v>
      </c>
    </row>
    <row r="1383" customHeight="1" spans="1:4">
      <c r="A1383" s="43">
        <v>1380</v>
      </c>
      <c r="B1383" s="51" t="s">
        <v>3551</v>
      </c>
      <c r="C1383" s="72" t="s">
        <v>3552</v>
      </c>
      <c r="D1383" s="69" t="s">
        <v>21</v>
      </c>
    </row>
    <row r="1384" customHeight="1" spans="1:4">
      <c r="A1384" s="43">
        <v>1381</v>
      </c>
      <c r="B1384" s="51" t="s">
        <v>3553</v>
      </c>
      <c r="C1384" s="72" t="s">
        <v>3554</v>
      </c>
      <c r="D1384" s="69" t="s">
        <v>21</v>
      </c>
    </row>
    <row r="1385" customHeight="1" spans="1:4">
      <c r="A1385" s="43">
        <v>1382</v>
      </c>
      <c r="B1385" s="51" t="s">
        <v>3555</v>
      </c>
      <c r="C1385" s="82" t="s">
        <v>3556</v>
      </c>
      <c r="D1385" s="69" t="s">
        <v>21</v>
      </c>
    </row>
    <row r="1386" customHeight="1" spans="1:4">
      <c r="A1386" s="43">
        <v>1383</v>
      </c>
      <c r="B1386" s="51" t="s">
        <v>3557</v>
      </c>
      <c r="C1386" s="72" t="s">
        <v>3558</v>
      </c>
      <c r="D1386" s="69" t="s">
        <v>21</v>
      </c>
    </row>
    <row r="1387" customHeight="1" spans="1:4">
      <c r="A1387" s="43">
        <v>1384</v>
      </c>
      <c r="B1387" s="51" t="s">
        <v>3559</v>
      </c>
      <c r="C1387" s="72" t="s">
        <v>3560</v>
      </c>
      <c r="D1387" s="69" t="s">
        <v>21</v>
      </c>
    </row>
    <row r="1388" customHeight="1" spans="1:4">
      <c r="A1388" s="43">
        <v>1385</v>
      </c>
      <c r="B1388" s="51" t="s">
        <v>3561</v>
      </c>
      <c r="C1388" s="72" t="s">
        <v>3562</v>
      </c>
      <c r="D1388" s="69" t="s">
        <v>21</v>
      </c>
    </row>
    <row r="1389" customHeight="1" spans="1:4">
      <c r="A1389" s="43">
        <v>1386</v>
      </c>
      <c r="B1389" s="51" t="s">
        <v>3563</v>
      </c>
      <c r="C1389" s="72" t="s">
        <v>3564</v>
      </c>
      <c r="D1389" s="69" t="s">
        <v>21</v>
      </c>
    </row>
    <row r="1390" customHeight="1" spans="1:4">
      <c r="A1390" s="43">
        <v>1387</v>
      </c>
      <c r="B1390" s="51" t="s">
        <v>3565</v>
      </c>
      <c r="C1390" s="72" t="s">
        <v>3566</v>
      </c>
      <c r="D1390" s="69" t="s">
        <v>21</v>
      </c>
    </row>
    <row r="1391" customHeight="1" spans="1:4">
      <c r="A1391" s="43">
        <v>1388</v>
      </c>
      <c r="B1391" s="51" t="s">
        <v>3567</v>
      </c>
      <c r="C1391" s="82" t="s">
        <v>3568</v>
      </c>
      <c r="D1391" s="69" t="s">
        <v>21</v>
      </c>
    </row>
    <row r="1392" customHeight="1" spans="1:4">
      <c r="A1392" s="43">
        <v>1389</v>
      </c>
      <c r="B1392" s="51" t="s">
        <v>3569</v>
      </c>
      <c r="C1392" s="72" t="s">
        <v>3570</v>
      </c>
      <c r="D1392" s="69" t="s">
        <v>21</v>
      </c>
    </row>
    <row r="1393" customHeight="1" spans="1:4">
      <c r="A1393" s="43">
        <v>1390</v>
      </c>
      <c r="B1393" s="51" t="s">
        <v>3571</v>
      </c>
      <c r="C1393" s="72" t="s">
        <v>3572</v>
      </c>
      <c r="D1393" s="69" t="s">
        <v>21</v>
      </c>
    </row>
    <row r="1394" customHeight="1" spans="1:4">
      <c r="A1394" s="43">
        <v>1391</v>
      </c>
      <c r="B1394" s="51" t="s">
        <v>3573</v>
      </c>
      <c r="C1394" s="72" t="s">
        <v>3574</v>
      </c>
      <c r="D1394" s="69" t="s">
        <v>21</v>
      </c>
    </row>
    <row r="1395" customHeight="1" spans="1:4">
      <c r="A1395" s="43">
        <v>1392</v>
      </c>
      <c r="B1395" s="51" t="s">
        <v>3575</v>
      </c>
      <c r="C1395" s="72" t="s">
        <v>3576</v>
      </c>
      <c r="D1395" s="69" t="s">
        <v>21</v>
      </c>
    </row>
    <row r="1396" customHeight="1" spans="1:4">
      <c r="A1396" s="43">
        <v>1393</v>
      </c>
      <c r="B1396" s="51" t="s">
        <v>3577</v>
      </c>
      <c r="C1396" s="72" t="s">
        <v>3578</v>
      </c>
      <c r="D1396" s="69" t="s">
        <v>21</v>
      </c>
    </row>
    <row r="1397" customHeight="1" spans="1:4">
      <c r="A1397" s="43">
        <v>1394</v>
      </c>
      <c r="B1397" s="69" t="s">
        <v>3579</v>
      </c>
      <c r="C1397" s="72" t="s">
        <v>3580</v>
      </c>
      <c r="D1397" s="69" t="s">
        <v>21</v>
      </c>
    </row>
    <row r="1398" customHeight="1" spans="1:4">
      <c r="A1398" s="43">
        <v>1395</v>
      </c>
      <c r="B1398" s="51" t="s">
        <v>3581</v>
      </c>
      <c r="C1398" s="72" t="s">
        <v>3582</v>
      </c>
      <c r="D1398" s="69" t="s">
        <v>21</v>
      </c>
    </row>
    <row r="1399" customHeight="1" spans="1:4">
      <c r="A1399" s="43">
        <v>1396</v>
      </c>
      <c r="B1399" s="51" t="s">
        <v>3583</v>
      </c>
      <c r="C1399" s="72" t="s">
        <v>3584</v>
      </c>
      <c r="D1399" s="69" t="s">
        <v>21</v>
      </c>
    </row>
    <row r="1400" customHeight="1" spans="1:4">
      <c r="A1400" s="43">
        <v>1397</v>
      </c>
      <c r="B1400" s="51" t="s">
        <v>3585</v>
      </c>
      <c r="C1400" s="72" t="s">
        <v>3586</v>
      </c>
      <c r="D1400" s="69" t="s">
        <v>21</v>
      </c>
    </row>
    <row r="1401" customHeight="1" spans="1:4">
      <c r="A1401" s="43">
        <v>1398</v>
      </c>
      <c r="B1401" s="51" t="s">
        <v>3587</v>
      </c>
      <c r="C1401" s="72" t="s">
        <v>3588</v>
      </c>
      <c r="D1401" s="69" t="s">
        <v>21</v>
      </c>
    </row>
    <row r="1402" customHeight="1" spans="1:4">
      <c r="A1402" s="43">
        <v>1399</v>
      </c>
      <c r="B1402" s="51" t="s">
        <v>3589</v>
      </c>
      <c r="C1402" s="72" t="s">
        <v>3590</v>
      </c>
      <c r="D1402" s="69" t="s">
        <v>21</v>
      </c>
    </row>
    <row r="1403" customHeight="1" spans="1:4">
      <c r="A1403" s="43">
        <v>1400</v>
      </c>
      <c r="B1403" s="51" t="s">
        <v>3591</v>
      </c>
      <c r="C1403" s="72" t="s">
        <v>3592</v>
      </c>
      <c r="D1403" s="69" t="s">
        <v>21</v>
      </c>
    </row>
    <row r="1404" customHeight="1" spans="1:4">
      <c r="A1404" s="43">
        <v>1401</v>
      </c>
      <c r="B1404" s="51" t="s">
        <v>3593</v>
      </c>
      <c r="C1404" s="72" t="s">
        <v>3594</v>
      </c>
      <c r="D1404" s="69" t="s">
        <v>21</v>
      </c>
    </row>
    <row r="1405" customHeight="1" spans="1:4">
      <c r="A1405" s="43">
        <v>1402</v>
      </c>
      <c r="B1405" s="51" t="s">
        <v>3595</v>
      </c>
      <c r="C1405" s="72" t="s">
        <v>3596</v>
      </c>
      <c r="D1405" s="69" t="s">
        <v>21</v>
      </c>
    </row>
    <row r="1406" customHeight="1" spans="1:4">
      <c r="A1406" s="43">
        <v>1403</v>
      </c>
      <c r="B1406" s="51" t="s">
        <v>3597</v>
      </c>
      <c r="C1406" s="72" t="s">
        <v>3598</v>
      </c>
      <c r="D1406" s="69" t="s">
        <v>21</v>
      </c>
    </row>
    <row r="1407" customHeight="1" spans="1:4">
      <c r="A1407" s="43">
        <v>1404</v>
      </c>
      <c r="B1407" s="51" t="s">
        <v>3599</v>
      </c>
      <c r="C1407" s="72" t="s">
        <v>3600</v>
      </c>
      <c r="D1407" s="69" t="s">
        <v>21</v>
      </c>
    </row>
    <row r="1408" customHeight="1" spans="1:4">
      <c r="A1408" s="43">
        <v>1405</v>
      </c>
      <c r="B1408" s="51" t="s">
        <v>3601</v>
      </c>
      <c r="C1408" s="72" t="s">
        <v>3602</v>
      </c>
      <c r="D1408" s="69" t="s">
        <v>21</v>
      </c>
    </row>
    <row r="1409" customHeight="1" spans="1:4">
      <c r="A1409" s="43">
        <v>1406</v>
      </c>
      <c r="B1409" s="51" t="s">
        <v>3603</v>
      </c>
      <c r="C1409" s="72" t="s">
        <v>3604</v>
      </c>
      <c r="D1409" s="69" t="s">
        <v>21</v>
      </c>
    </row>
    <row r="1410" customHeight="1" spans="1:4">
      <c r="A1410" s="43">
        <v>1407</v>
      </c>
      <c r="B1410" s="51" t="s">
        <v>3605</v>
      </c>
      <c r="C1410" s="82" t="s">
        <v>3606</v>
      </c>
      <c r="D1410" s="69" t="s">
        <v>21</v>
      </c>
    </row>
    <row r="1411" customHeight="1" spans="1:4">
      <c r="A1411" s="43">
        <v>1408</v>
      </c>
      <c r="B1411" s="51" t="s">
        <v>3607</v>
      </c>
      <c r="C1411" s="82" t="s">
        <v>3608</v>
      </c>
      <c r="D1411" s="69" t="s">
        <v>21</v>
      </c>
    </row>
    <row r="1412" customHeight="1" spans="1:4">
      <c r="A1412" s="43">
        <v>1409</v>
      </c>
      <c r="B1412" s="51" t="s">
        <v>3609</v>
      </c>
      <c r="C1412" s="82" t="s">
        <v>3610</v>
      </c>
      <c r="D1412" s="69" t="s">
        <v>21</v>
      </c>
    </row>
    <row r="1413" customHeight="1" spans="1:4">
      <c r="A1413" s="43">
        <v>1410</v>
      </c>
      <c r="B1413" s="51" t="s">
        <v>3611</v>
      </c>
      <c r="C1413" s="82" t="s">
        <v>3612</v>
      </c>
      <c r="D1413" s="69" t="s">
        <v>21</v>
      </c>
    </row>
    <row r="1414" customHeight="1" spans="1:4">
      <c r="A1414" s="43">
        <v>1411</v>
      </c>
      <c r="B1414" s="51" t="s">
        <v>3613</v>
      </c>
      <c r="C1414" s="82" t="s">
        <v>3614</v>
      </c>
      <c r="D1414" s="69" t="s">
        <v>21</v>
      </c>
    </row>
    <row r="1415" customHeight="1" spans="1:4">
      <c r="A1415" s="43">
        <v>1412</v>
      </c>
      <c r="B1415" s="51" t="s">
        <v>3615</v>
      </c>
      <c r="C1415" s="82" t="s">
        <v>3616</v>
      </c>
      <c r="D1415" s="69" t="s">
        <v>21</v>
      </c>
    </row>
    <row r="1416" customHeight="1" spans="1:4">
      <c r="A1416" s="43">
        <v>1413</v>
      </c>
      <c r="B1416" s="56" t="s">
        <v>3617</v>
      </c>
      <c r="C1416" s="83" t="s">
        <v>3618</v>
      </c>
      <c r="D1416" s="63" t="s">
        <v>21</v>
      </c>
    </row>
    <row r="1417" customHeight="1" spans="1:4">
      <c r="A1417" s="43">
        <v>1414</v>
      </c>
      <c r="B1417" s="51" t="s">
        <v>3619</v>
      </c>
      <c r="C1417" s="82" t="s">
        <v>3620</v>
      </c>
      <c r="D1417" s="69" t="s">
        <v>21</v>
      </c>
    </row>
    <row r="1418" customHeight="1" spans="1:4">
      <c r="A1418" s="43">
        <v>1415</v>
      </c>
      <c r="B1418" s="51" t="s">
        <v>3621</v>
      </c>
      <c r="C1418" s="82" t="s">
        <v>3622</v>
      </c>
      <c r="D1418" s="69" t="s">
        <v>21</v>
      </c>
    </row>
    <row r="1419" customHeight="1" spans="1:4">
      <c r="A1419" s="43">
        <v>1416</v>
      </c>
      <c r="B1419" s="51" t="s">
        <v>3623</v>
      </c>
      <c r="C1419" s="82" t="s">
        <v>3624</v>
      </c>
      <c r="D1419" s="69" t="s">
        <v>21</v>
      </c>
    </row>
    <row r="1420" customHeight="1" spans="1:4">
      <c r="A1420" s="43">
        <v>1417</v>
      </c>
      <c r="B1420" s="51" t="s">
        <v>3625</v>
      </c>
      <c r="C1420" s="82" t="s">
        <v>3626</v>
      </c>
      <c r="D1420" s="69" t="s">
        <v>21</v>
      </c>
    </row>
    <row r="1421" customHeight="1" spans="1:4">
      <c r="A1421" s="43">
        <v>1418</v>
      </c>
      <c r="B1421" s="51" t="s">
        <v>3627</v>
      </c>
      <c r="C1421" s="82" t="s">
        <v>3628</v>
      </c>
      <c r="D1421" s="69" t="s">
        <v>21</v>
      </c>
    </row>
    <row r="1422" customHeight="1" spans="1:4">
      <c r="A1422" s="43">
        <v>1419</v>
      </c>
      <c r="B1422" s="51" t="s">
        <v>3629</v>
      </c>
      <c r="C1422" s="82" t="s">
        <v>3630</v>
      </c>
      <c r="D1422" s="69" t="s">
        <v>21</v>
      </c>
    </row>
    <row r="1423" customHeight="1" spans="1:4">
      <c r="A1423" s="43">
        <v>1420</v>
      </c>
      <c r="B1423" s="51" t="s">
        <v>3631</v>
      </c>
      <c r="C1423" s="82" t="s">
        <v>3632</v>
      </c>
      <c r="D1423" s="69" t="s">
        <v>21</v>
      </c>
    </row>
    <row r="1424" customHeight="1" spans="1:4">
      <c r="A1424" s="43">
        <v>1421</v>
      </c>
      <c r="B1424" s="51" t="s">
        <v>3633</v>
      </c>
      <c r="C1424" s="82" t="s">
        <v>3634</v>
      </c>
      <c r="D1424" s="69" t="s">
        <v>21</v>
      </c>
    </row>
    <row r="1425" customHeight="1" spans="1:4">
      <c r="A1425" s="43">
        <v>1422</v>
      </c>
      <c r="B1425" s="51" t="s">
        <v>3635</v>
      </c>
      <c r="C1425" s="82" t="s">
        <v>3636</v>
      </c>
      <c r="D1425" s="69" t="s">
        <v>21</v>
      </c>
    </row>
    <row r="1426" customHeight="1" spans="1:4">
      <c r="A1426" s="43">
        <v>1423</v>
      </c>
      <c r="B1426" s="51" t="s">
        <v>3637</v>
      </c>
      <c r="C1426" s="82" t="s">
        <v>3638</v>
      </c>
      <c r="D1426" s="69" t="s">
        <v>21</v>
      </c>
    </row>
    <row r="1427" customHeight="1" spans="1:4">
      <c r="A1427" s="43">
        <v>1424</v>
      </c>
      <c r="B1427" s="51" t="s">
        <v>3639</v>
      </c>
      <c r="C1427" s="82" t="s">
        <v>3640</v>
      </c>
      <c r="D1427" s="69" t="s">
        <v>21</v>
      </c>
    </row>
    <row r="1428" customHeight="1" spans="1:4">
      <c r="A1428" s="43">
        <v>1425</v>
      </c>
      <c r="B1428" s="51" t="s">
        <v>3641</v>
      </c>
      <c r="C1428" s="82" t="s">
        <v>3642</v>
      </c>
      <c r="D1428" s="69" t="s">
        <v>21</v>
      </c>
    </row>
    <row r="1429" customHeight="1" spans="1:4">
      <c r="A1429" s="43">
        <v>1426</v>
      </c>
      <c r="B1429" s="51" t="s">
        <v>3643</v>
      </c>
      <c r="C1429" s="82" t="s">
        <v>3644</v>
      </c>
      <c r="D1429" s="69" t="s">
        <v>21</v>
      </c>
    </row>
    <row r="1430" customHeight="1" spans="1:4">
      <c r="A1430" s="43">
        <v>1427</v>
      </c>
      <c r="B1430" s="50" t="s">
        <v>3645</v>
      </c>
      <c r="C1430" s="82" t="s">
        <v>3646</v>
      </c>
      <c r="D1430" s="69" t="s">
        <v>21</v>
      </c>
    </row>
    <row r="1431" customHeight="1" spans="1:4">
      <c r="A1431" s="43">
        <v>1428</v>
      </c>
      <c r="B1431" s="50" t="s">
        <v>3647</v>
      </c>
      <c r="C1431" s="82" t="s">
        <v>3648</v>
      </c>
      <c r="D1431" s="69" t="s">
        <v>21</v>
      </c>
    </row>
    <row r="1432" customHeight="1" spans="1:4">
      <c r="A1432" s="43">
        <v>1429</v>
      </c>
      <c r="B1432" s="50" t="s">
        <v>3649</v>
      </c>
      <c r="C1432" s="82" t="s">
        <v>3650</v>
      </c>
      <c r="D1432" s="69" t="s">
        <v>991</v>
      </c>
    </row>
    <row r="1433" customHeight="1" spans="1:4">
      <c r="A1433" s="43">
        <v>1430</v>
      </c>
      <c r="B1433" s="50" t="s">
        <v>3651</v>
      </c>
      <c r="C1433" s="82" t="s">
        <v>3652</v>
      </c>
      <c r="D1433" s="69" t="s">
        <v>21</v>
      </c>
    </row>
    <row r="1434" customHeight="1" spans="1:4">
      <c r="A1434" s="43">
        <v>1431</v>
      </c>
      <c r="B1434" s="50" t="s">
        <v>3653</v>
      </c>
      <c r="C1434" s="82" t="s">
        <v>3654</v>
      </c>
      <c r="D1434" s="69" t="s">
        <v>21</v>
      </c>
    </row>
    <row r="1435" customHeight="1" spans="1:4">
      <c r="A1435" s="43">
        <v>1432</v>
      </c>
      <c r="B1435" s="51" t="s">
        <v>3655</v>
      </c>
      <c r="C1435" s="82" t="s">
        <v>3656</v>
      </c>
      <c r="D1435" s="69" t="s">
        <v>21</v>
      </c>
    </row>
    <row r="1436" customHeight="1" spans="1:4">
      <c r="A1436" s="43">
        <v>1433</v>
      </c>
      <c r="B1436" s="51" t="s">
        <v>3657</v>
      </c>
      <c r="C1436" s="82" t="s">
        <v>3658</v>
      </c>
      <c r="D1436" s="69" t="s">
        <v>21</v>
      </c>
    </row>
    <row r="1437" customHeight="1" spans="1:4">
      <c r="A1437" s="43">
        <v>1434</v>
      </c>
      <c r="B1437" s="51" t="s">
        <v>3659</v>
      </c>
      <c r="C1437" s="82" t="s">
        <v>3660</v>
      </c>
      <c r="D1437" s="69" t="s">
        <v>21</v>
      </c>
    </row>
    <row r="1438" customHeight="1" spans="1:4">
      <c r="A1438" s="43">
        <v>1435</v>
      </c>
      <c r="B1438" s="51" t="s">
        <v>3661</v>
      </c>
      <c r="C1438" s="82" t="s">
        <v>3662</v>
      </c>
      <c r="D1438" s="69" t="s">
        <v>21</v>
      </c>
    </row>
    <row r="1439" customHeight="1" spans="1:4">
      <c r="A1439" s="43">
        <v>1436</v>
      </c>
      <c r="B1439" s="51" t="s">
        <v>3663</v>
      </c>
      <c r="C1439" s="82" t="s">
        <v>3664</v>
      </c>
      <c r="D1439" s="69" t="s">
        <v>21</v>
      </c>
    </row>
    <row r="1440" customHeight="1" spans="1:4">
      <c r="A1440" s="43">
        <v>1437</v>
      </c>
      <c r="B1440" s="51" t="s">
        <v>3665</v>
      </c>
      <c r="C1440" s="82" t="s">
        <v>3666</v>
      </c>
      <c r="D1440" s="69" t="s">
        <v>21</v>
      </c>
    </row>
    <row r="1441" customHeight="1" spans="1:4">
      <c r="A1441" s="43">
        <v>1438</v>
      </c>
      <c r="B1441" s="51" t="s">
        <v>3667</v>
      </c>
      <c r="C1441" s="82" t="s">
        <v>3668</v>
      </c>
      <c r="D1441" s="69" t="s">
        <v>21</v>
      </c>
    </row>
    <row r="1442" customHeight="1" spans="1:4">
      <c r="A1442" s="43">
        <v>1439</v>
      </c>
      <c r="B1442" s="51" t="s">
        <v>3669</v>
      </c>
      <c r="C1442" s="82" t="s">
        <v>3670</v>
      </c>
      <c r="D1442" s="69" t="s">
        <v>21</v>
      </c>
    </row>
    <row r="1443" customHeight="1" spans="1:4">
      <c r="A1443" s="43">
        <v>1440</v>
      </c>
      <c r="B1443" s="51" t="s">
        <v>3671</v>
      </c>
      <c r="C1443" s="82" t="s">
        <v>3672</v>
      </c>
      <c r="D1443" s="69" t="s">
        <v>21</v>
      </c>
    </row>
    <row r="1444" customHeight="1" spans="1:4">
      <c r="A1444" s="43">
        <v>1441</v>
      </c>
      <c r="B1444" s="53" t="s">
        <v>3673</v>
      </c>
      <c r="C1444" s="82" t="s">
        <v>3674</v>
      </c>
      <c r="D1444" s="69" t="s">
        <v>21</v>
      </c>
    </row>
    <row r="1445" customHeight="1" spans="1:4">
      <c r="A1445" s="43">
        <v>1442</v>
      </c>
      <c r="B1445" s="51" t="s">
        <v>3675</v>
      </c>
      <c r="C1445" s="82" t="s">
        <v>3676</v>
      </c>
      <c r="D1445" s="69" t="s">
        <v>21</v>
      </c>
    </row>
    <row r="1446" customHeight="1" spans="1:4">
      <c r="A1446" s="43">
        <v>1443</v>
      </c>
      <c r="B1446" s="51" t="s">
        <v>3677</v>
      </c>
      <c r="C1446" s="82" t="s">
        <v>3678</v>
      </c>
      <c r="D1446" s="69" t="s">
        <v>21</v>
      </c>
    </row>
    <row r="1447" customHeight="1" spans="1:4">
      <c r="A1447" s="43">
        <v>1444</v>
      </c>
      <c r="B1447" s="51" t="s">
        <v>3679</v>
      </c>
      <c r="C1447" s="82" t="s">
        <v>3680</v>
      </c>
      <c r="D1447" s="69" t="s">
        <v>21</v>
      </c>
    </row>
    <row r="1448" customHeight="1" spans="1:4">
      <c r="A1448" s="43">
        <v>1445</v>
      </c>
      <c r="B1448" s="51" t="s">
        <v>3681</v>
      </c>
      <c r="C1448" s="82" t="s">
        <v>3682</v>
      </c>
      <c r="D1448" s="69" t="s">
        <v>21</v>
      </c>
    </row>
    <row r="1449" customHeight="1" spans="1:4">
      <c r="A1449" s="43">
        <v>1446</v>
      </c>
      <c r="B1449" s="51" t="s">
        <v>3683</v>
      </c>
      <c r="C1449" s="82" t="s">
        <v>3684</v>
      </c>
      <c r="D1449" s="69" t="s">
        <v>21</v>
      </c>
    </row>
    <row r="1450" customHeight="1" spans="1:4">
      <c r="A1450" s="43">
        <v>1447</v>
      </c>
      <c r="B1450" s="51" t="s">
        <v>3685</v>
      </c>
      <c r="C1450" s="82" t="s">
        <v>3686</v>
      </c>
      <c r="D1450" s="69" t="s">
        <v>21</v>
      </c>
    </row>
    <row r="1451" customHeight="1" spans="1:4">
      <c r="A1451" s="43">
        <v>1448</v>
      </c>
      <c r="B1451" s="51" t="s">
        <v>3687</v>
      </c>
      <c r="C1451" s="82" t="s">
        <v>3688</v>
      </c>
      <c r="D1451" s="69" t="s">
        <v>21</v>
      </c>
    </row>
    <row r="1452" customHeight="1" spans="1:4">
      <c r="A1452" s="43">
        <v>1449</v>
      </c>
      <c r="B1452" s="51" t="s">
        <v>3689</v>
      </c>
      <c r="C1452" s="82" t="s">
        <v>3690</v>
      </c>
      <c r="D1452" s="69" t="s">
        <v>21</v>
      </c>
    </row>
    <row r="1453" customHeight="1" spans="1:4">
      <c r="A1453" s="43">
        <v>1450</v>
      </c>
      <c r="B1453" s="51" t="s">
        <v>3691</v>
      </c>
      <c r="C1453" s="82" t="s">
        <v>3692</v>
      </c>
      <c r="D1453" s="69" t="s">
        <v>21</v>
      </c>
    </row>
    <row r="1454" customHeight="1" spans="1:4">
      <c r="A1454" s="43">
        <v>1451</v>
      </c>
      <c r="B1454" s="51" t="s">
        <v>3693</v>
      </c>
      <c r="C1454" s="82" t="s">
        <v>3694</v>
      </c>
      <c r="D1454" s="69" t="s">
        <v>21</v>
      </c>
    </row>
    <row r="1455" customHeight="1" spans="1:4">
      <c r="A1455" s="43">
        <v>1452</v>
      </c>
      <c r="B1455" s="51" t="s">
        <v>3695</v>
      </c>
      <c r="C1455" s="82" t="s">
        <v>3696</v>
      </c>
      <c r="D1455" s="69" t="s">
        <v>3697</v>
      </c>
    </row>
    <row r="1456" customHeight="1" spans="1:4">
      <c r="A1456" s="43">
        <v>1453</v>
      </c>
      <c r="B1456" s="51" t="s">
        <v>3698</v>
      </c>
      <c r="C1456" s="82" t="s">
        <v>3699</v>
      </c>
      <c r="D1456" s="69" t="s">
        <v>3700</v>
      </c>
    </row>
    <row r="1457" customHeight="1" spans="1:4">
      <c r="A1457" s="43">
        <v>1454</v>
      </c>
      <c r="B1457" s="51" t="s">
        <v>3701</v>
      </c>
      <c r="C1457" s="82" t="s">
        <v>3702</v>
      </c>
      <c r="D1457" s="69" t="s">
        <v>3703</v>
      </c>
    </row>
    <row r="1458" customHeight="1" spans="1:4">
      <c r="A1458" s="43">
        <v>1455</v>
      </c>
      <c r="B1458" s="51" t="s">
        <v>3704</v>
      </c>
      <c r="C1458" s="82" t="s">
        <v>3705</v>
      </c>
      <c r="D1458" s="69" t="s">
        <v>3706</v>
      </c>
    </row>
    <row r="1459" customHeight="1" spans="1:4">
      <c r="A1459" s="43">
        <v>1456</v>
      </c>
      <c r="B1459" s="51" t="s">
        <v>3707</v>
      </c>
      <c r="C1459" s="82" t="s">
        <v>3708</v>
      </c>
      <c r="D1459" s="69" t="s">
        <v>3454</v>
      </c>
    </row>
    <row r="1460" customHeight="1" spans="1:4">
      <c r="A1460" s="43">
        <v>1457</v>
      </c>
      <c r="B1460" s="51" t="s">
        <v>3709</v>
      </c>
      <c r="C1460" s="82" t="s">
        <v>3710</v>
      </c>
      <c r="D1460" s="69" t="s">
        <v>3711</v>
      </c>
    </row>
    <row r="1461" customHeight="1" spans="1:4">
      <c r="A1461" s="43">
        <v>1458</v>
      </c>
      <c r="B1461" s="51" t="s">
        <v>3712</v>
      </c>
      <c r="C1461" s="82" t="s">
        <v>3713</v>
      </c>
      <c r="D1461" s="69" t="s">
        <v>21</v>
      </c>
    </row>
    <row r="1462" customHeight="1" spans="1:4">
      <c r="A1462" s="43">
        <v>1459</v>
      </c>
      <c r="B1462" s="51" t="s">
        <v>3714</v>
      </c>
      <c r="C1462" s="82" t="s">
        <v>3715</v>
      </c>
      <c r="D1462" s="69" t="s">
        <v>21</v>
      </c>
    </row>
    <row r="1463" customHeight="1" spans="1:4">
      <c r="A1463" s="43">
        <v>1460</v>
      </c>
      <c r="B1463" s="50" t="s">
        <v>3716</v>
      </c>
      <c r="C1463" s="82" t="s">
        <v>3717</v>
      </c>
      <c r="D1463" s="69" t="s">
        <v>991</v>
      </c>
    </row>
    <row r="1464" customHeight="1" spans="1:4">
      <c r="A1464" s="43">
        <v>1461</v>
      </c>
      <c r="B1464" s="50" t="s">
        <v>3718</v>
      </c>
      <c r="C1464" s="82" t="s">
        <v>3719</v>
      </c>
      <c r="D1464" s="69" t="s">
        <v>21</v>
      </c>
    </row>
    <row r="1465" customHeight="1" spans="1:4">
      <c r="A1465" s="43">
        <v>1462</v>
      </c>
      <c r="B1465" s="50" t="s">
        <v>3720</v>
      </c>
      <c r="C1465" s="82" t="s">
        <v>3721</v>
      </c>
      <c r="D1465" s="69" t="s">
        <v>21</v>
      </c>
    </row>
    <row r="1466" customHeight="1" spans="1:4">
      <c r="A1466" s="43">
        <v>1463</v>
      </c>
      <c r="B1466" s="50" t="s">
        <v>3722</v>
      </c>
      <c r="C1466" s="82" t="s">
        <v>3723</v>
      </c>
      <c r="D1466" s="69" t="s">
        <v>21</v>
      </c>
    </row>
    <row r="1467" customHeight="1" spans="1:4">
      <c r="A1467" s="43">
        <v>1464</v>
      </c>
      <c r="B1467" s="84" t="s">
        <v>3724</v>
      </c>
      <c r="C1467" s="82" t="s">
        <v>3725</v>
      </c>
      <c r="D1467" s="85" t="s">
        <v>3454</v>
      </c>
    </row>
    <row r="1468" customHeight="1" spans="1:4">
      <c r="A1468" s="43">
        <v>1465</v>
      </c>
      <c r="B1468" s="50" t="s">
        <v>3726</v>
      </c>
      <c r="C1468" s="82" t="s">
        <v>3727</v>
      </c>
      <c r="D1468" s="69" t="s">
        <v>3728</v>
      </c>
    </row>
    <row r="1469" customHeight="1" spans="1:4">
      <c r="A1469" s="43">
        <v>1466</v>
      </c>
      <c r="B1469" s="50" t="s">
        <v>3729</v>
      </c>
      <c r="C1469" s="82" t="s">
        <v>3730</v>
      </c>
      <c r="D1469" s="69" t="s">
        <v>21</v>
      </c>
    </row>
    <row r="1470" customHeight="1" spans="1:4">
      <c r="A1470" s="43">
        <v>1467</v>
      </c>
      <c r="B1470" s="50" t="s">
        <v>3731</v>
      </c>
      <c r="C1470" s="82" t="s">
        <v>3732</v>
      </c>
      <c r="D1470" s="69" t="s">
        <v>21</v>
      </c>
    </row>
    <row r="1471" customHeight="1" spans="1:4">
      <c r="A1471" s="43">
        <v>1468</v>
      </c>
      <c r="B1471" s="51" t="s">
        <v>3733</v>
      </c>
      <c r="C1471" s="82" t="s">
        <v>3734</v>
      </c>
      <c r="D1471" s="69" t="s">
        <v>21</v>
      </c>
    </row>
    <row r="1472" customHeight="1" spans="1:4">
      <c r="A1472" s="43">
        <v>1469</v>
      </c>
      <c r="B1472" s="51" t="s">
        <v>3735</v>
      </c>
      <c r="C1472" s="82" t="s">
        <v>3736</v>
      </c>
      <c r="D1472" s="69" t="s">
        <v>21</v>
      </c>
    </row>
    <row r="1473" customHeight="1" spans="1:4">
      <c r="A1473" s="43">
        <v>1470</v>
      </c>
      <c r="B1473" s="51" t="s">
        <v>3737</v>
      </c>
      <c r="C1473" s="82" t="s">
        <v>3738</v>
      </c>
      <c r="D1473" s="69" t="s">
        <v>21</v>
      </c>
    </row>
    <row r="1474" customHeight="1" spans="1:4">
      <c r="A1474" s="43">
        <v>1471</v>
      </c>
      <c r="B1474" s="51" t="s">
        <v>3739</v>
      </c>
      <c r="C1474" s="82" t="s">
        <v>3740</v>
      </c>
      <c r="D1474" s="69" t="s">
        <v>3741</v>
      </c>
    </row>
    <row r="1475" customHeight="1" spans="1:4">
      <c r="A1475" s="43">
        <v>1472</v>
      </c>
      <c r="B1475" s="51" t="s">
        <v>3742</v>
      </c>
      <c r="C1475" s="82" t="s">
        <v>3743</v>
      </c>
      <c r="D1475" s="69" t="s">
        <v>991</v>
      </c>
    </row>
    <row r="1476" customHeight="1" spans="1:4">
      <c r="A1476" s="43">
        <v>1473</v>
      </c>
      <c r="B1476" s="51" t="s">
        <v>3744</v>
      </c>
      <c r="C1476" s="72" t="s">
        <v>3745</v>
      </c>
      <c r="D1476" s="69" t="s">
        <v>21</v>
      </c>
    </row>
    <row r="1477" customHeight="1" spans="1:4">
      <c r="A1477" s="43">
        <v>1474</v>
      </c>
      <c r="B1477" s="51" t="s">
        <v>3746</v>
      </c>
      <c r="C1477" s="72" t="s">
        <v>3747</v>
      </c>
      <c r="D1477" s="69" t="s">
        <v>40</v>
      </c>
    </row>
    <row r="1478" customHeight="1" spans="1:4">
      <c r="A1478" s="43">
        <v>1475</v>
      </c>
      <c r="B1478" s="51" t="s">
        <v>3748</v>
      </c>
      <c r="C1478" s="72" t="s">
        <v>3749</v>
      </c>
      <c r="D1478" s="69" t="s">
        <v>21</v>
      </c>
    </row>
    <row r="1479" customHeight="1" spans="1:4">
      <c r="A1479" s="43">
        <v>1476</v>
      </c>
      <c r="B1479" s="51" t="s">
        <v>3750</v>
      </c>
      <c r="C1479" s="72" t="s">
        <v>3751</v>
      </c>
      <c r="D1479" s="69" t="s">
        <v>21</v>
      </c>
    </row>
    <row r="1480" customHeight="1" spans="1:4">
      <c r="A1480" s="43">
        <v>1477</v>
      </c>
      <c r="B1480" s="51" t="s">
        <v>3752</v>
      </c>
      <c r="C1480" s="72" t="s">
        <v>3753</v>
      </c>
      <c r="D1480" s="69" t="s">
        <v>21</v>
      </c>
    </row>
    <row r="1481" customHeight="1" spans="1:4">
      <c r="A1481" s="43">
        <v>1478</v>
      </c>
      <c r="B1481" s="51" t="s">
        <v>3754</v>
      </c>
      <c r="C1481" s="72" t="s">
        <v>3755</v>
      </c>
      <c r="D1481" s="69" t="s">
        <v>21</v>
      </c>
    </row>
    <row r="1482" customHeight="1" spans="1:4">
      <c r="A1482" s="43">
        <v>1479</v>
      </c>
      <c r="B1482" s="51" t="s">
        <v>3756</v>
      </c>
      <c r="C1482" s="72" t="s">
        <v>3757</v>
      </c>
      <c r="D1482" s="69" t="s">
        <v>21</v>
      </c>
    </row>
    <row r="1483" customHeight="1" spans="1:4">
      <c r="A1483" s="43">
        <v>1480</v>
      </c>
      <c r="B1483" s="51" t="s">
        <v>3758</v>
      </c>
      <c r="C1483" s="72" t="s">
        <v>3759</v>
      </c>
      <c r="D1483" s="69" t="s">
        <v>21</v>
      </c>
    </row>
    <row r="1484" customHeight="1" spans="1:4">
      <c r="A1484" s="43">
        <v>1481</v>
      </c>
      <c r="B1484" s="51" t="s">
        <v>3760</v>
      </c>
      <c r="C1484" s="72" t="s">
        <v>3761</v>
      </c>
      <c r="D1484" s="69" t="s">
        <v>3762</v>
      </c>
    </row>
    <row r="1485" customHeight="1" spans="1:4">
      <c r="A1485" s="43">
        <v>1482</v>
      </c>
      <c r="B1485" s="51" t="s">
        <v>3763</v>
      </c>
      <c r="C1485" s="72" t="s">
        <v>3764</v>
      </c>
      <c r="D1485" s="69" t="s">
        <v>3762</v>
      </c>
    </row>
    <row r="1486" customHeight="1" spans="1:4">
      <c r="A1486" s="43">
        <v>1483</v>
      </c>
      <c r="B1486" s="51" t="s">
        <v>3765</v>
      </c>
      <c r="C1486" s="72" t="s">
        <v>3766</v>
      </c>
      <c r="D1486" s="69" t="s">
        <v>21</v>
      </c>
    </row>
    <row r="1487" customHeight="1" spans="1:4">
      <c r="A1487" s="43">
        <v>1484</v>
      </c>
      <c r="B1487" s="51" t="s">
        <v>3767</v>
      </c>
      <c r="C1487" s="72" t="s">
        <v>3768</v>
      </c>
      <c r="D1487" s="69" t="s">
        <v>21</v>
      </c>
    </row>
    <row r="1488" customHeight="1" spans="1:4">
      <c r="A1488" s="43">
        <v>1485</v>
      </c>
      <c r="B1488" s="51" t="s">
        <v>3769</v>
      </c>
      <c r="C1488" s="72" t="s">
        <v>3770</v>
      </c>
      <c r="D1488" s="69" t="s">
        <v>21</v>
      </c>
    </row>
    <row r="1489" customHeight="1" spans="1:4">
      <c r="A1489" s="43">
        <v>1486</v>
      </c>
      <c r="B1489" s="51" t="s">
        <v>3771</v>
      </c>
      <c r="C1489" s="72" t="s">
        <v>3772</v>
      </c>
      <c r="D1489" s="69" t="s">
        <v>21</v>
      </c>
    </row>
    <row r="1490" customHeight="1" spans="1:4">
      <c r="A1490" s="43">
        <v>1487</v>
      </c>
      <c r="B1490" s="51" t="s">
        <v>3773</v>
      </c>
      <c r="C1490" s="72" t="s">
        <v>3774</v>
      </c>
      <c r="D1490" s="69" t="s">
        <v>21</v>
      </c>
    </row>
    <row r="1491" customHeight="1" spans="1:4">
      <c r="A1491" s="43">
        <v>1488</v>
      </c>
      <c r="B1491" s="51" t="s">
        <v>3775</v>
      </c>
      <c r="C1491" s="72" t="s">
        <v>3776</v>
      </c>
      <c r="D1491" s="69" t="s">
        <v>21</v>
      </c>
    </row>
    <row r="1492" customHeight="1" spans="1:4">
      <c r="A1492" s="43">
        <v>1489</v>
      </c>
      <c r="B1492" s="51" t="s">
        <v>3777</v>
      </c>
      <c r="C1492" s="72" t="s">
        <v>3778</v>
      </c>
      <c r="D1492" s="69" t="s">
        <v>21</v>
      </c>
    </row>
    <row r="1493" customHeight="1" spans="1:4">
      <c r="A1493" s="43">
        <v>1490</v>
      </c>
      <c r="B1493" s="51" t="s">
        <v>3779</v>
      </c>
      <c r="C1493" s="72" t="s">
        <v>3780</v>
      </c>
      <c r="D1493" s="69" t="s">
        <v>21</v>
      </c>
    </row>
    <row r="1494" customHeight="1" spans="1:4">
      <c r="A1494" s="43">
        <v>1491</v>
      </c>
      <c r="B1494" s="51" t="s">
        <v>3781</v>
      </c>
      <c r="C1494" s="72" t="s">
        <v>3782</v>
      </c>
      <c r="D1494" s="69" t="s">
        <v>21</v>
      </c>
    </row>
    <row r="1495" customHeight="1" spans="1:4">
      <c r="A1495" s="43">
        <v>1492</v>
      </c>
      <c r="B1495" s="51" t="s">
        <v>3783</v>
      </c>
      <c r="C1495" s="72" t="s">
        <v>3784</v>
      </c>
      <c r="D1495" s="69" t="s">
        <v>21</v>
      </c>
    </row>
    <row r="1496" customHeight="1" spans="1:4">
      <c r="A1496" s="43">
        <v>1493</v>
      </c>
      <c r="B1496" s="51" t="s">
        <v>3785</v>
      </c>
      <c r="C1496" s="72" t="s">
        <v>3786</v>
      </c>
      <c r="D1496" s="69" t="s">
        <v>21</v>
      </c>
    </row>
    <row r="1497" customHeight="1" spans="1:4">
      <c r="A1497" s="43">
        <v>1494</v>
      </c>
      <c r="B1497" s="51" t="s">
        <v>3787</v>
      </c>
      <c r="C1497" s="72" t="s">
        <v>3788</v>
      </c>
      <c r="D1497" s="69" t="s">
        <v>21</v>
      </c>
    </row>
    <row r="1498" customHeight="1" spans="1:4">
      <c r="A1498" s="43">
        <v>1495</v>
      </c>
      <c r="B1498" s="51" t="s">
        <v>3789</v>
      </c>
      <c r="C1498" s="72" t="s">
        <v>3790</v>
      </c>
      <c r="D1498" s="69" t="s">
        <v>21</v>
      </c>
    </row>
    <row r="1499" customHeight="1" spans="1:4">
      <c r="A1499" s="43">
        <v>1496</v>
      </c>
      <c r="B1499" s="51" t="s">
        <v>3791</v>
      </c>
      <c r="C1499" s="72" t="s">
        <v>3792</v>
      </c>
      <c r="D1499" s="69" t="s">
        <v>21</v>
      </c>
    </row>
    <row r="1500" customHeight="1" spans="1:4">
      <c r="A1500" s="43">
        <v>1497</v>
      </c>
      <c r="B1500" s="51" t="s">
        <v>3793</v>
      </c>
      <c r="C1500" s="72" t="s">
        <v>3794</v>
      </c>
      <c r="D1500" s="69" t="s">
        <v>21</v>
      </c>
    </row>
    <row r="1501" customHeight="1" spans="1:4">
      <c r="A1501" s="43">
        <v>1498</v>
      </c>
      <c r="B1501" s="51" t="s">
        <v>3795</v>
      </c>
      <c r="C1501" s="72" t="s">
        <v>3796</v>
      </c>
      <c r="D1501" s="69" t="s">
        <v>21</v>
      </c>
    </row>
    <row r="1502" customHeight="1" spans="1:4">
      <c r="A1502" s="43">
        <v>1499</v>
      </c>
      <c r="B1502" s="51" t="s">
        <v>3797</v>
      </c>
      <c r="C1502" s="72" t="s">
        <v>3798</v>
      </c>
      <c r="D1502" s="69" t="s">
        <v>21</v>
      </c>
    </row>
    <row r="1503" customHeight="1" spans="1:4">
      <c r="A1503" s="43">
        <v>1500</v>
      </c>
      <c r="B1503" s="51" t="s">
        <v>3799</v>
      </c>
      <c r="C1503" s="72" t="s">
        <v>3800</v>
      </c>
      <c r="D1503" s="69" t="s">
        <v>21</v>
      </c>
    </row>
    <row r="1504" customHeight="1" spans="1:4">
      <c r="A1504" s="43">
        <v>1501</v>
      </c>
      <c r="B1504" s="51" t="s">
        <v>3801</v>
      </c>
      <c r="C1504" s="72" t="s">
        <v>3802</v>
      </c>
      <c r="D1504" s="69" t="s">
        <v>21</v>
      </c>
    </row>
    <row r="1505" customHeight="1" spans="1:4">
      <c r="A1505" s="43">
        <v>1502</v>
      </c>
      <c r="B1505" s="51" t="s">
        <v>3803</v>
      </c>
      <c r="C1505" s="72" t="s">
        <v>3804</v>
      </c>
      <c r="D1505" s="69" t="s">
        <v>21</v>
      </c>
    </row>
    <row r="1506" customHeight="1" spans="1:4">
      <c r="A1506" s="43">
        <v>1503</v>
      </c>
      <c r="B1506" s="51" t="s">
        <v>3805</v>
      </c>
      <c r="C1506" s="72" t="s">
        <v>3806</v>
      </c>
      <c r="D1506" s="69" t="s">
        <v>991</v>
      </c>
    </row>
    <row r="1507" customHeight="1" spans="1:4">
      <c r="A1507" s="43">
        <v>1504</v>
      </c>
      <c r="B1507" s="51" t="s">
        <v>3807</v>
      </c>
      <c r="C1507" s="72" t="s">
        <v>3808</v>
      </c>
      <c r="D1507" s="69" t="s">
        <v>21</v>
      </c>
    </row>
    <row r="1508" customHeight="1" spans="1:4">
      <c r="A1508" s="43">
        <v>1505</v>
      </c>
      <c r="B1508" s="51" t="s">
        <v>3809</v>
      </c>
      <c r="C1508" s="72" t="s">
        <v>3810</v>
      </c>
      <c r="D1508" s="69" t="s">
        <v>21</v>
      </c>
    </row>
    <row r="1509" customHeight="1" spans="1:4">
      <c r="A1509" s="43">
        <v>1506</v>
      </c>
      <c r="B1509" s="51" t="s">
        <v>3811</v>
      </c>
      <c r="C1509" s="72" t="s">
        <v>3812</v>
      </c>
      <c r="D1509" s="69" t="s">
        <v>21</v>
      </c>
    </row>
    <row r="1510" customHeight="1" spans="1:4">
      <c r="A1510" s="43">
        <v>1507</v>
      </c>
      <c r="B1510" s="51" t="s">
        <v>3813</v>
      </c>
      <c r="C1510" s="72" t="s">
        <v>3814</v>
      </c>
      <c r="D1510" s="69" t="s">
        <v>3815</v>
      </c>
    </row>
    <row r="1511" customHeight="1" spans="1:4">
      <c r="A1511" s="43">
        <v>1508</v>
      </c>
      <c r="B1511" s="51" t="s">
        <v>3816</v>
      </c>
      <c r="C1511" s="72" t="s">
        <v>3817</v>
      </c>
      <c r="D1511" s="69" t="s">
        <v>3815</v>
      </c>
    </row>
    <row r="1512" customHeight="1" spans="1:4">
      <c r="A1512" s="43">
        <v>1509</v>
      </c>
      <c r="B1512" s="51" t="s">
        <v>3818</v>
      </c>
      <c r="C1512" s="72" t="s">
        <v>3819</v>
      </c>
      <c r="D1512" s="69" t="s">
        <v>21</v>
      </c>
    </row>
    <row r="1513" customHeight="1" spans="1:4">
      <c r="A1513" s="43">
        <v>1510</v>
      </c>
      <c r="B1513" s="51" t="s">
        <v>3820</v>
      </c>
      <c r="C1513" s="72" t="s">
        <v>3821</v>
      </c>
      <c r="D1513" s="69" t="s">
        <v>21</v>
      </c>
    </row>
    <row r="1514" customHeight="1" spans="1:4">
      <c r="A1514" s="43">
        <v>1511</v>
      </c>
      <c r="B1514" s="51" t="s">
        <v>3822</v>
      </c>
      <c r="C1514" s="72" t="s">
        <v>3823</v>
      </c>
      <c r="D1514" s="69" t="s">
        <v>21</v>
      </c>
    </row>
    <row r="1515" customHeight="1" spans="1:4">
      <c r="A1515" s="43">
        <v>1512</v>
      </c>
      <c r="B1515" s="51" t="s">
        <v>3824</v>
      </c>
      <c r="C1515" s="72" t="s">
        <v>3825</v>
      </c>
      <c r="D1515" s="69" t="s">
        <v>21</v>
      </c>
    </row>
    <row r="1516" customHeight="1" spans="1:4">
      <c r="A1516" s="43">
        <v>1513</v>
      </c>
      <c r="B1516" s="51" t="s">
        <v>3826</v>
      </c>
      <c r="C1516" s="72" t="s">
        <v>3827</v>
      </c>
      <c r="D1516" s="69" t="s">
        <v>21</v>
      </c>
    </row>
    <row r="1517" customHeight="1" spans="1:4">
      <c r="A1517" s="43">
        <v>1514</v>
      </c>
      <c r="B1517" s="51" t="s">
        <v>3828</v>
      </c>
      <c r="C1517" s="72" t="s">
        <v>3829</v>
      </c>
      <c r="D1517" s="69" t="s">
        <v>21</v>
      </c>
    </row>
    <row r="1518" customHeight="1" spans="1:4">
      <c r="A1518" s="43">
        <v>1515</v>
      </c>
      <c r="B1518" s="51" t="s">
        <v>3830</v>
      </c>
      <c r="C1518" s="72" t="s">
        <v>3831</v>
      </c>
      <c r="D1518" s="69" t="s">
        <v>3454</v>
      </c>
    </row>
    <row r="1519" customHeight="1" spans="1:4">
      <c r="A1519" s="43">
        <v>1516</v>
      </c>
      <c r="B1519" s="51" t="s">
        <v>3832</v>
      </c>
      <c r="C1519" s="72" t="s">
        <v>3833</v>
      </c>
      <c r="D1519" s="69" t="s">
        <v>3454</v>
      </c>
    </row>
    <row r="1520" customHeight="1" spans="1:4">
      <c r="A1520" s="43">
        <v>1517</v>
      </c>
      <c r="B1520" s="51" t="s">
        <v>3834</v>
      </c>
      <c r="C1520" s="72" t="s">
        <v>3835</v>
      </c>
      <c r="D1520" s="69" t="s">
        <v>3454</v>
      </c>
    </row>
    <row r="1521" customHeight="1" spans="1:4">
      <c r="A1521" s="43">
        <v>1518</v>
      </c>
      <c r="B1521" s="51" t="s">
        <v>3836</v>
      </c>
      <c r="C1521" s="72" t="s">
        <v>3837</v>
      </c>
      <c r="D1521" s="69" t="s">
        <v>3711</v>
      </c>
    </row>
    <row r="1522" customHeight="1" spans="1:4">
      <c r="A1522" s="43">
        <v>1519</v>
      </c>
      <c r="B1522" s="51" t="s">
        <v>3838</v>
      </c>
      <c r="C1522" s="72" t="s">
        <v>3839</v>
      </c>
      <c r="D1522" s="69" t="s">
        <v>3711</v>
      </c>
    </row>
    <row r="1523" customHeight="1" spans="1:4">
      <c r="A1523" s="43">
        <v>1520</v>
      </c>
      <c r="B1523" s="51" t="s">
        <v>3840</v>
      </c>
      <c r="C1523" s="72" t="s">
        <v>3841</v>
      </c>
      <c r="D1523" s="69" t="s">
        <v>21</v>
      </c>
    </row>
    <row r="1524" customHeight="1" spans="1:4">
      <c r="A1524" s="43">
        <v>1521</v>
      </c>
      <c r="B1524" s="51" t="s">
        <v>3842</v>
      </c>
      <c r="C1524" s="72" t="s">
        <v>3843</v>
      </c>
      <c r="D1524" s="69" t="s">
        <v>21</v>
      </c>
    </row>
    <row r="1525" customHeight="1" spans="1:4">
      <c r="A1525" s="43">
        <v>1522</v>
      </c>
      <c r="B1525" s="51" t="s">
        <v>3844</v>
      </c>
      <c r="C1525" s="72" t="s">
        <v>3845</v>
      </c>
      <c r="D1525" s="69" t="s">
        <v>21</v>
      </c>
    </row>
    <row r="1526" customHeight="1" spans="1:4">
      <c r="A1526" s="43">
        <v>1523</v>
      </c>
      <c r="B1526" s="51" t="s">
        <v>3846</v>
      </c>
      <c r="C1526" s="72" t="s">
        <v>3847</v>
      </c>
      <c r="D1526" s="69" t="s">
        <v>21</v>
      </c>
    </row>
    <row r="1527" customHeight="1" spans="1:4">
      <c r="A1527" s="43">
        <v>1524</v>
      </c>
      <c r="B1527" s="51" t="s">
        <v>3848</v>
      </c>
      <c r="C1527" s="72" t="s">
        <v>3849</v>
      </c>
      <c r="D1527" s="69" t="s">
        <v>21</v>
      </c>
    </row>
    <row r="1528" customHeight="1" spans="1:4">
      <c r="A1528" s="43">
        <v>1525</v>
      </c>
      <c r="B1528" s="51" t="s">
        <v>3850</v>
      </c>
      <c r="C1528" s="72" t="s">
        <v>3851</v>
      </c>
      <c r="D1528" s="69" t="s">
        <v>21</v>
      </c>
    </row>
    <row r="1529" customHeight="1" spans="1:4">
      <c r="A1529" s="43">
        <v>1526</v>
      </c>
      <c r="B1529" s="51" t="s">
        <v>3852</v>
      </c>
      <c r="C1529" s="72" t="s">
        <v>3853</v>
      </c>
      <c r="D1529" s="69" t="s">
        <v>21</v>
      </c>
    </row>
    <row r="1530" customHeight="1" spans="1:4">
      <c r="A1530" s="43">
        <v>1527</v>
      </c>
      <c r="B1530" s="51" t="s">
        <v>3854</v>
      </c>
      <c r="C1530" s="72" t="s">
        <v>3855</v>
      </c>
      <c r="D1530" s="69" t="s">
        <v>3856</v>
      </c>
    </row>
    <row r="1531" customHeight="1" spans="1:4">
      <c r="A1531" s="43">
        <v>1528</v>
      </c>
      <c r="B1531" s="51" t="s">
        <v>3857</v>
      </c>
      <c r="C1531" s="72" t="s">
        <v>3858</v>
      </c>
      <c r="D1531" s="69" t="s">
        <v>3856</v>
      </c>
    </row>
    <row r="1532" customHeight="1" spans="1:4">
      <c r="A1532" s="43">
        <v>1529</v>
      </c>
      <c r="B1532" s="51" t="s">
        <v>3859</v>
      </c>
      <c r="C1532" s="72" t="s">
        <v>3860</v>
      </c>
      <c r="D1532" s="69" t="s">
        <v>21</v>
      </c>
    </row>
    <row r="1533" customHeight="1" spans="1:4">
      <c r="A1533" s="43">
        <v>1530</v>
      </c>
      <c r="B1533" s="51" t="s">
        <v>3861</v>
      </c>
      <c r="C1533" s="72" t="s">
        <v>3862</v>
      </c>
      <c r="D1533" s="69" t="s">
        <v>3454</v>
      </c>
    </row>
    <row r="1534" customHeight="1" spans="1:4">
      <c r="A1534" s="43">
        <v>1531</v>
      </c>
      <c r="B1534" s="51" t="s">
        <v>3863</v>
      </c>
      <c r="C1534" s="72" t="s">
        <v>3864</v>
      </c>
      <c r="D1534" s="69" t="s">
        <v>3454</v>
      </c>
    </row>
    <row r="1535" customHeight="1" spans="1:4">
      <c r="A1535" s="43">
        <v>1532</v>
      </c>
      <c r="B1535" s="51" t="s">
        <v>3865</v>
      </c>
      <c r="C1535" s="72" t="s">
        <v>3866</v>
      </c>
      <c r="D1535" s="69" t="s">
        <v>3711</v>
      </c>
    </row>
    <row r="1536" customHeight="1" spans="1:4">
      <c r="A1536" s="43">
        <v>1533</v>
      </c>
      <c r="B1536" s="51" t="s">
        <v>3867</v>
      </c>
      <c r="C1536" s="72" t="s">
        <v>3868</v>
      </c>
      <c r="D1536" s="69" t="s">
        <v>3711</v>
      </c>
    </row>
    <row r="1537" customHeight="1" spans="1:4">
      <c r="A1537" s="43">
        <v>1534</v>
      </c>
      <c r="B1537" s="51" t="s">
        <v>3869</v>
      </c>
      <c r="C1537" s="72" t="s">
        <v>3870</v>
      </c>
      <c r="D1537" s="69" t="s">
        <v>3871</v>
      </c>
    </row>
    <row r="1538" customHeight="1" spans="1:4">
      <c r="A1538" s="43">
        <v>1535</v>
      </c>
      <c r="B1538" s="51" t="s">
        <v>3872</v>
      </c>
      <c r="C1538" s="72" t="s">
        <v>3873</v>
      </c>
      <c r="D1538" s="69" t="s">
        <v>3871</v>
      </c>
    </row>
    <row r="1539" customHeight="1" spans="1:4">
      <c r="A1539" s="43">
        <v>1536</v>
      </c>
      <c r="B1539" s="51" t="s">
        <v>3874</v>
      </c>
      <c r="C1539" s="72" t="s">
        <v>3875</v>
      </c>
      <c r="D1539" s="69" t="s">
        <v>3871</v>
      </c>
    </row>
    <row r="1540" customHeight="1" spans="1:4">
      <c r="A1540" s="43">
        <v>1537</v>
      </c>
      <c r="B1540" s="51" t="s">
        <v>3876</v>
      </c>
      <c r="C1540" s="72" t="s">
        <v>3877</v>
      </c>
      <c r="D1540" s="69" t="s">
        <v>21</v>
      </c>
    </row>
    <row r="1541" customHeight="1" spans="1:4">
      <c r="A1541" s="43">
        <v>1538</v>
      </c>
      <c r="B1541" s="51" t="s">
        <v>3878</v>
      </c>
      <c r="C1541" s="72" t="s">
        <v>3879</v>
      </c>
      <c r="D1541" s="69" t="s">
        <v>21</v>
      </c>
    </row>
    <row r="1542" customHeight="1" spans="1:4">
      <c r="A1542" s="43">
        <v>1539</v>
      </c>
      <c r="B1542" s="51" t="s">
        <v>3880</v>
      </c>
      <c r="C1542" s="72" t="s">
        <v>3881</v>
      </c>
      <c r="D1542" s="69" t="s">
        <v>21</v>
      </c>
    </row>
    <row r="1543" customHeight="1" spans="1:4">
      <c r="A1543" s="43">
        <v>1540</v>
      </c>
      <c r="B1543" s="51" t="s">
        <v>3882</v>
      </c>
      <c r="C1543" s="72" t="s">
        <v>3883</v>
      </c>
      <c r="D1543" s="69" t="s">
        <v>21</v>
      </c>
    </row>
    <row r="1544" customHeight="1" spans="1:4">
      <c r="A1544" s="43">
        <v>1541</v>
      </c>
      <c r="B1544" s="51" t="s">
        <v>3884</v>
      </c>
      <c r="C1544" s="72" t="s">
        <v>3885</v>
      </c>
      <c r="D1544" s="69" t="s">
        <v>21</v>
      </c>
    </row>
    <row r="1545" customHeight="1" spans="1:4">
      <c r="A1545" s="43">
        <v>1542</v>
      </c>
      <c r="B1545" s="86" t="s">
        <v>3886</v>
      </c>
      <c r="C1545" s="72" t="s">
        <v>3887</v>
      </c>
      <c r="D1545" s="63" t="s">
        <v>21</v>
      </c>
    </row>
    <row r="1546" customHeight="1" spans="1:4">
      <c r="A1546" s="43">
        <v>1543</v>
      </c>
      <c r="B1546" s="51" t="s">
        <v>3888</v>
      </c>
      <c r="C1546" s="72" t="s">
        <v>3889</v>
      </c>
      <c r="D1546" s="69" t="s">
        <v>21</v>
      </c>
    </row>
    <row r="1547" customHeight="1" spans="1:4">
      <c r="A1547" s="43">
        <v>1544</v>
      </c>
      <c r="B1547" s="51" t="s">
        <v>3890</v>
      </c>
      <c r="C1547" s="72" t="s">
        <v>3891</v>
      </c>
      <c r="D1547" s="69" t="s">
        <v>21</v>
      </c>
    </row>
    <row r="1548" customHeight="1" spans="1:4">
      <c r="A1548" s="43">
        <v>1545</v>
      </c>
      <c r="B1548" s="51" t="s">
        <v>3892</v>
      </c>
      <c r="C1548" s="72" t="s">
        <v>3893</v>
      </c>
      <c r="D1548" s="69" t="s">
        <v>21</v>
      </c>
    </row>
    <row r="1549" customHeight="1" spans="1:4">
      <c r="A1549" s="43">
        <v>1546</v>
      </c>
      <c r="B1549" s="51" t="s">
        <v>3894</v>
      </c>
      <c r="C1549" s="72" t="s">
        <v>3895</v>
      </c>
      <c r="D1549" s="69" t="s">
        <v>21</v>
      </c>
    </row>
    <row r="1550" customHeight="1" spans="1:4">
      <c r="A1550" s="43">
        <v>1547</v>
      </c>
      <c r="B1550" s="51" t="s">
        <v>3896</v>
      </c>
      <c r="C1550" s="72" t="s">
        <v>3897</v>
      </c>
      <c r="D1550" s="69" t="s">
        <v>21</v>
      </c>
    </row>
    <row r="1551" customHeight="1" spans="1:4">
      <c r="A1551" s="43">
        <v>1548</v>
      </c>
      <c r="B1551" s="51" t="s">
        <v>3898</v>
      </c>
      <c r="C1551" s="72" t="s">
        <v>3899</v>
      </c>
      <c r="D1551" s="69" t="s">
        <v>21</v>
      </c>
    </row>
    <row r="1552" customHeight="1" spans="1:4">
      <c r="A1552" s="43">
        <v>1549</v>
      </c>
      <c r="B1552" s="51" t="s">
        <v>3900</v>
      </c>
      <c r="C1552" s="72" t="s">
        <v>3901</v>
      </c>
      <c r="D1552" s="69" t="s">
        <v>21</v>
      </c>
    </row>
    <row r="1553" customHeight="1" spans="1:4">
      <c r="A1553" s="43">
        <v>1550</v>
      </c>
      <c r="B1553" s="51" t="s">
        <v>3902</v>
      </c>
      <c r="C1553" s="72" t="s">
        <v>3903</v>
      </c>
      <c r="D1553" s="69" t="s">
        <v>21</v>
      </c>
    </row>
    <row r="1554" customHeight="1" spans="1:4">
      <c r="A1554" s="43">
        <v>1551</v>
      </c>
      <c r="B1554" s="51" t="s">
        <v>3904</v>
      </c>
      <c r="C1554" s="72" t="s">
        <v>3905</v>
      </c>
      <c r="D1554" s="69" t="s">
        <v>21</v>
      </c>
    </row>
    <row r="1555" customHeight="1" spans="1:4">
      <c r="A1555" s="43">
        <v>1552</v>
      </c>
      <c r="B1555" s="51" t="s">
        <v>3906</v>
      </c>
      <c r="C1555" s="72" t="s">
        <v>3907</v>
      </c>
      <c r="D1555" s="69" t="s">
        <v>21</v>
      </c>
    </row>
    <row r="1556" customHeight="1" spans="1:4">
      <c r="A1556" s="43">
        <v>1553</v>
      </c>
      <c r="B1556" s="51" t="s">
        <v>3908</v>
      </c>
      <c r="C1556" s="72" t="s">
        <v>3909</v>
      </c>
      <c r="D1556" s="69" t="s">
        <v>21</v>
      </c>
    </row>
    <row r="1557" customHeight="1" spans="1:4">
      <c r="A1557" s="43">
        <v>1554</v>
      </c>
      <c r="B1557" s="51" t="s">
        <v>3910</v>
      </c>
      <c r="C1557" s="72" t="s">
        <v>3911</v>
      </c>
      <c r="D1557" s="69" t="s">
        <v>21</v>
      </c>
    </row>
    <row r="1558" customHeight="1" spans="1:4">
      <c r="A1558" s="43">
        <v>1555</v>
      </c>
      <c r="B1558" s="51" t="s">
        <v>3912</v>
      </c>
      <c r="C1558" s="72" t="s">
        <v>3913</v>
      </c>
      <c r="D1558" s="69" t="s">
        <v>991</v>
      </c>
    </row>
    <row r="1559" customHeight="1" spans="1:4">
      <c r="A1559" s="43">
        <v>1556</v>
      </c>
      <c r="B1559" s="51" t="s">
        <v>3914</v>
      </c>
      <c r="C1559" s="72" t="s">
        <v>3915</v>
      </c>
      <c r="D1559" s="69" t="s">
        <v>21</v>
      </c>
    </row>
    <row r="1560" customHeight="1" spans="1:4">
      <c r="A1560" s="43">
        <v>1557</v>
      </c>
      <c r="B1560" s="51" t="s">
        <v>3174</v>
      </c>
      <c r="C1560" s="72" t="s">
        <v>3175</v>
      </c>
      <c r="D1560" s="69" t="s">
        <v>21</v>
      </c>
    </row>
    <row r="1561" customHeight="1" spans="1:4">
      <c r="A1561" s="43">
        <v>1558</v>
      </c>
      <c r="B1561" s="51" t="s">
        <v>3916</v>
      </c>
      <c r="C1561" s="72" t="s">
        <v>3917</v>
      </c>
      <c r="D1561" s="69" t="s">
        <v>21</v>
      </c>
    </row>
    <row r="1562" customHeight="1" spans="1:4">
      <c r="A1562" s="43">
        <v>1559</v>
      </c>
      <c r="B1562" s="51" t="s">
        <v>3918</v>
      </c>
      <c r="C1562" s="72" t="s">
        <v>3919</v>
      </c>
      <c r="D1562" s="69" t="s">
        <v>21</v>
      </c>
    </row>
    <row r="1563" customHeight="1" spans="1:4">
      <c r="A1563" s="43">
        <v>1560</v>
      </c>
      <c r="B1563" s="51" t="s">
        <v>3920</v>
      </c>
      <c r="C1563" s="72" t="s">
        <v>3921</v>
      </c>
      <c r="D1563" s="69" t="s">
        <v>21</v>
      </c>
    </row>
    <row r="1564" customHeight="1" spans="1:4">
      <c r="A1564" s="43">
        <v>1561</v>
      </c>
      <c r="B1564" s="51" t="s">
        <v>3922</v>
      </c>
      <c r="C1564" s="72" t="s">
        <v>3923</v>
      </c>
      <c r="D1564" s="69" t="s">
        <v>21</v>
      </c>
    </row>
    <row r="1565" customHeight="1" spans="1:4">
      <c r="A1565" s="43">
        <v>1562</v>
      </c>
      <c r="B1565" s="51" t="s">
        <v>3924</v>
      </c>
      <c r="C1565" s="72" t="s">
        <v>3925</v>
      </c>
      <c r="D1565" s="69" t="s">
        <v>21</v>
      </c>
    </row>
    <row r="1566" customHeight="1" spans="1:4">
      <c r="A1566" s="43">
        <v>1563</v>
      </c>
      <c r="B1566" s="51" t="s">
        <v>3926</v>
      </c>
      <c r="C1566" s="72" t="s">
        <v>3927</v>
      </c>
      <c r="D1566" s="69" t="s">
        <v>3928</v>
      </c>
    </row>
    <row r="1567" customHeight="1" spans="1:4">
      <c r="A1567" s="43">
        <v>1564</v>
      </c>
      <c r="B1567" s="51" t="s">
        <v>3929</v>
      </c>
      <c r="C1567" s="72" t="s">
        <v>3930</v>
      </c>
      <c r="D1567" s="69" t="s">
        <v>3928</v>
      </c>
    </row>
    <row r="1568" customHeight="1" spans="1:4">
      <c r="A1568" s="43">
        <v>1565</v>
      </c>
      <c r="B1568" s="51" t="s">
        <v>3931</v>
      </c>
      <c r="C1568" s="72" t="s">
        <v>3932</v>
      </c>
      <c r="D1568" s="69" t="s">
        <v>21</v>
      </c>
    </row>
    <row r="1569" customHeight="1" spans="1:4">
      <c r="A1569" s="43">
        <v>1566</v>
      </c>
      <c r="B1569" s="51" t="s">
        <v>3933</v>
      </c>
      <c r="C1569" s="72" t="s">
        <v>3934</v>
      </c>
      <c r="D1569" s="69" t="s">
        <v>21</v>
      </c>
    </row>
    <row r="1570" customHeight="1" spans="1:4">
      <c r="A1570" s="43">
        <v>1567</v>
      </c>
      <c r="B1570" s="51" t="s">
        <v>3935</v>
      </c>
      <c r="C1570" s="72" t="s">
        <v>3936</v>
      </c>
      <c r="D1570" s="69" t="s">
        <v>21</v>
      </c>
    </row>
    <row r="1571" customHeight="1" spans="1:4">
      <c r="A1571" s="43">
        <v>1568</v>
      </c>
      <c r="B1571" s="51" t="s">
        <v>3937</v>
      </c>
      <c r="C1571" s="72" t="s">
        <v>3938</v>
      </c>
      <c r="D1571" s="69" t="s">
        <v>21</v>
      </c>
    </row>
    <row r="1572" customHeight="1" spans="1:4">
      <c r="A1572" s="43">
        <v>1569</v>
      </c>
      <c r="B1572" s="51" t="s">
        <v>3939</v>
      </c>
      <c r="C1572" s="72" t="s">
        <v>3940</v>
      </c>
      <c r="D1572" s="69" t="s">
        <v>21</v>
      </c>
    </row>
    <row r="1573" customHeight="1" spans="1:4">
      <c r="A1573" s="43">
        <v>1570</v>
      </c>
      <c r="B1573" s="51" t="s">
        <v>3941</v>
      </c>
      <c r="C1573" s="72" t="s">
        <v>3942</v>
      </c>
      <c r="D1573" s="69" t="s">
        <v>21</v>
      </c>
    </row>
    <row r="1574" customHeight="1" spans="1:4">
      <c r="A1574" s="43">
        <v>1571</v>
      </c>
      <c r="B1574" s="51" t="s">
        <v>3943</v>
      </c>
      <c r="C1574" s="72" t="s">
        <v>3944</v>
      </c>
      <c r="D1574" s="69" t="s">
        <v>21</v>
      </c>
    </row>
    <row r="1575" customHeight="1" spans="1:4">
      <c r="A1575" s="43">
        <v>1572</v>
      </c>
      <c r="B1575" s="51" t="s">
        <v>3945</v>
      </c>
      <c r="C1575" s="72" t="s">
        <v>3946</v>
      </c>
      <c r="D1575" s="69" t="s">
        <v>21</v>
      </c>
    </row>
    <row r="1576" customHeight="1" spans="1:4">
      <c r="A1576" s="43">
        <v>1573</v>
      </c>
      <c r="B1576" s="51" t="s">
        <v>3947</v>
      </c>
      <c r="C1576" s="72" t="s">
        <v>3948</v>
      </c>
      <c r="D1576" s="69" t="s">
        <v>21</v>
      </c>
    </row>
    <row r="1577" customHeight="1" spans="1:4">
      <c r="A1577" s="43">
        <v>1574</v>
      </c>
      <c r="B1577" s="51" t="s">
        <v>3949</v>
      </c>
      <c r="C1577" s="72" t="s">
        <v>3950</v>
      </c>
      <c r="D1577" s="69" t="s">
        <v>21</v>
      </c>
    </row>
    <row r="1578" customHeight="1" spans="1:4">
      <c r="A1578" s="43">
        <v>1575</v>
      </c>
      <c r="B1578" s="51" t="s">
        <v>3951</v>
      </c>
      <c r="C1578" s="72" t="s">
        <v>3952</v>
      </c>
      <c r="D1578" s="69" t="s">
        <v>21</v>
      </c>
    </row>
    <row r="1579" customHeight="1" spans="1:4">
      <c r="A1579" s="43">
        <v>1576</v>
      </c>
      <c r="B1579" s="51" t="s">
        <v>3953</v>
      </c>
      <c r="C1579" s="72" t="s">
        <v>3954</v>
      </c>
      <c r="D1579" s="69" t="s">
        <v>21</v>
      </c>
    </row>
    <row r="1580" customHeight="1" spans="1:4">
      <c r="A1580" s="43">
        <v>1577</v>
      </c>
      <c r="B1580" s="51" t="s">
        <v>3955</v>
      </c>
      <c r="C1580" s="72" t="s">
        <v>3956</v>
      </c>
      <c r="D1580" s="69" t="s">
        <v>21</v>
      </c>
    </row>
    <row r="1581" customHeight="1" spans="1:4">
      <c r="A1581" s="43">
        <v>1578</v>
      </c>
      <c r="B1581" s="51" t="s">
        <v>3957</v>
      </c>
      <c r="C1581" s="72" t="s">
        <v>3958</v>
      </c>
      <c r="D1581" s="69" t="s">
        <v>991</v>
      </c>
    </row>
    <row r="1582" customHeight="1" spans="1:4">
      <c r="A1582" s="43">
        <v>1579</v>
      </c>
      <c r="B1582" s="51" t="s">
        <v>3959</v>
      </c>
      <c r="C1582" s="72" t="s">
        <v>3960</v>
      </c>
      <c r="D1582" s="69" t="s">
        <v>21</v>
      </c>
    </row>
    <row r="1583" customHeight="1" spans="1:4">
      <c r="A1583" s="43">
        <v>1580</v>
      </c>
      <c r="B1583" s="51" t="s">
        <v>3961</v>
      </c>
      <c r="C1583" s="72" t="s">
        <v>3962</v>
      </c>
      <c r="D1583" s="69" t="s">
        <v>21</v>
      </c>
    </row>
    <row r="1584" customHeight="1" spans="1:4">
      <c r="A1584" s="43">
        <v>1581</v>
      </c>
      <c r="B1584" s="51" t="s">
        <v>3963</v>
      </c>
      <c r="C1584" s="72" t="s">
        <v>3964</v>
      </c>
      <c r="D1584" s="69" t="s">
        <v>21</v>
      </c>
    </row>
    <row r="1585" customHeight="1" spans="1:4">
      <c r="A1585" s="43">
        <v>1582</v>
      </c>
      <c r="B1585" s="51" t="s">
        <v>3965</v>
      </c>
      <c r="C1585" s="72" t="s">
        <v>3966</v>
      </c>
      <c r="D1585" s="69" t="s">
        <v>21</v>
      </c>
    </row>
    <row r="1586" customHeight="1" spans="1:4">
      <c r="A1586" s="43">
        <v>1583</v>
      </c>
      <c r="B1586" s="51" t="s">
        <v>3967</v>
      </c>
      <c r="C1586" s="72" t="s">
        <v>3968</v>
      </c>
      <c r="D1586" s="69" t="s">
        <v>21</v>
      </c>
    </row>
    <row r="1587" customHeight="1" spans="1:4">
      <c r="A1587" s="43">
        <v>1584</v>
      </c>
      <c r="B1587" s="51" t="s">
        <v>3969</v>
      </c>
      <c r="C1587" s="72" t="s">
        <v>3970</v>
      </c>
      <c r="D1587" s="69" t="s">
        <v>21</v>
      </c>
    </row>
    <row r="1588" customHeight="1" spans="1:4">
      <c r="A1588" s="43">
        <v>1585</v>
      </c>
      <c r="B1588" s="51" t="s">
        <v>3971</v>
      </c>
      <c r="C1588" s="72" t="s">
        <v>3972</v>
      </c>
      <c r="D1588" s="69" t="s">
        <v>21</v>
      </c>
    </row>
    <row r="1589" customHeight="1" spans="1:4">
      <c r="A1589" s="43">
        <v>1586</v>
      </c>
      <c r="B1589" s="51" t="s">
        <v>3973</v>
      </c>
      <c r="C1589" s="72" t="s">
        <v>3974</v>
      </c>
      <c r="D1589" s="69" t="s">
        <v>21</v>
      </c>
    </row>
    <row r="1590" customHeight="1" spans="1:4">
      <c r="A1590" s="43">
        <v>1587</v>
      </c>
      <c r="B1590" s="51" t="s">
        <v>3975</v>
      </c>
      <c r="C1590" s="72" t="s">
        <v>3976</v>
      </c>
      <c r="D1590" s="69" t="s">
        <v>21</v>
      </c>
    </row>
    <row r="1591" customHeight="1" spans="1:4">
      <c r="A1591" s="43">
        <v>1588</v>
      </c>
      <c r="B1591" s="51" t="s">
        <v>3977</v>
      </c>
      <c r="C1591" s="72" t="s">
        <v>3978</v>
      </c>
      <c r="D1591" s="69" t="s">
        <v>21</v>
      </c>
    </row>
    <row r="1592" customHeight="1" spans="1:4">
      <c r="A1592" s="43">
        <v>1589</v>
      </c>
      <c r="B1592" s="51" t="s">
        <v>3979</v>
      </c>
      <c r="C1592" s="72" t="s">
        <v>3980</v>
      </c>
      <c r="D1592" s="69" t="s">
        <v>21</v>
      </c>
    </row>
    <row r="1593" customHeight="1" spans="1:4">
      <c r="A1593" s="43">
        <v>1590</v>
      </c>
      <c r="B1593" s="51" t="s">
        <v>3981</v>
      </c>
      <c r="C1593" s="72" t="s">
        <v>3982</v>
      </c>
      <c r="D1593" s="69" t="s">
        <v>21</v>
      </c>
    </row>
    <row r="1594" customHeight="1" spans="1:4">
      <c r="A1594" s="43">
        <v>1591</v>
      </c>
      <c r="B1594" s="51" t="s">
        <v>3983</v>
      </c>
      <c r="C1594" s="72" t="s">
        <v>3984</v>
      </c>
      <c r="D1594" s="69" t="s">
        <v>21</v>
      </c>
    </row>
    <row r="1595" customHeight="1" spans="1:4">
      <c r="A1595" s="43">
        <v>1592</v>
      </c>
      <c r="B1595" s="51" t="s">
        <v>3985</v>
      </c>
      <c r="C1595" s="72" t="s">
        <v>3986</v>
      </c>
      <c r="D1595" s="69" t="s">
        <v>3987</v>
      </c>
    </row>
    <row r="1596" customHeight="1" spans="1:4">
      <c r="A1596" s="43">
        <v>1593</v>
      </c>
      <c r="B1596" s="51" t="s">
        <v>3988</v>
      </c>
      <c r="C1596" s="72" t="s">
        <v>3989</v>
      </c>
      <c r="D1596" s="69" t="s">
        <v>3987</v>
      </c>
    </row>
    <row r="1597" customHeight="1" spans="1:4">
      <c r="A1597" s="43">
        <v>1594</v>
      </c>
      <c r="B1597" s="51" t="s">
        <v>3990</v>
      </c>
      <c r="C1597" s="72" t="s">
        <v>3991</v>
      </c>
      <c r="D1597" s="69" t="s">
        <v>21</v>
      </c>
    </row>
    <row r="1598" customHeight="1" spans="1:4">
      <c r="A1598" s="43">
        <v>1595</v>
      </c>
      <c r="B1598" s="51" t="s">
        <v>3992</v>
      </c>
      <c r="C1598" s="72" t="s">
        <v>3993</v>
      </c>
      <c r="D1598" s="69" t="s">
        <v>21</v>
      </c>
    </row>
    <row r="1599" customHeight="1" spans="1:4">
      <c r="A1599" s="43">
        <v>1596</v>
      </c>
      <c r="B1599" s="51" t="s">
        <v>3994</v>
      </c>
      <c r="C1599" s="72" t="s">
        <v>3995</v>
      </c>
      <c r="D1599" s="69" t="s">
        <v>21</v>
      </c>
    </row>
    <row r="1600" customHeight="1" spans="1:4">
      <c r="A1600" s="43">
        <v>1597</v>
      </c>
      <c r="B1600" s="51" t="s">
        <v>3996</v>
      </c>
      <c r="C1600" s="72" t="s">
        <v>3997</v>
      </c>
      <c r="D1600" s="69" t="s">
        <v>21</v>
      </c>
    </row>
    <row r="1601" customHeight="1" spans="1:4">
      <c r="A1601" s="43">
        <v>1598</v>
      </c>
      <c r="B1601" s="51" t="s">
        <v>3998</v>
      </c>
      <c r="C1601" s="72" t="s">
        <v>3999</v>
      </c>
      <c r="D1601" s="69" t="s">
        <v>21</v>
      </c>
    </row>
    <row r="1602" customHeight="1" spans="1:4">
      <c r="A1602" s="43">
        <v>1599</v>
      </c>
      <c r="B1602" s="51" t="s">
        <v>4000</v>
      </c>
      <c r="C1602" s="72" t="s">
        <v>4001</v>
      </c>
      <c r="D1602" s="69" t="s">
        <v>21</v>
      </c>
    </row>
    <row r="1603" customHeight="1" spans="1:4">
      <c r="A1603" s="43">
        <v>1600</v>
      </c>
      <c r="B1603" s="51" t="s">
        <v>4002</v>
      </c>
      <c r="C1603" s="72" t="s">
        <v>4003</v>
      </c>
      <c r="D1603" s="69" t="s">
        <v>21</v>
      </c>
    </row>
    <row r="1604" customHeight="1" spans="1:4">
      <c r="A1604" s="43">
        <v>1601</v>
      </c>
      <c r="B1604" s="51" t="s">
        <v>4004</v>
      </c>
      <c r="C1604" s="72" t="s">
        <v>4005</v>
      </c>
      <c r="D1604" s="69" t="s">
        <v>21</v>
      </c>
    </row>
    <row r="1605" customHeight="1" spans="1:4">
      <c r="A1605" s="43">
        <v>1602</v>
      </c>
      <c r="B1605" s="51" t="s">
        <v>4006</v>
      </c>
      <c r="C1605" s="72" t="s">
        <v>4007</v>
      </c>
      <c r="D1605" s="69" t="s">
        <v>21</v>
      </c>
    </row>
    <row r="1606" customHeight="1" spans="1:4">
      <c r="A1606" s="43">
        <v>1603</v>
      </c>
      <c r="B1606" s="51" t="s">
        <v>4008</v>
      </c>
      <c r="C1606" s="72" t="s">
        <v>4009</v>
      </c>
      <c r="D1606" s="69" t="s">
        <v>21</v>
      </c>
    </row>
    <row r="1607" customHeight="1" spans="1:4">
      <c r="A1607" s="43">
        <v>1604</v>
      </c>
      <c r="B1607" s="51" t="s">
        <v>4010</v>
      </c>
      <c r="C1607" s="72" t="s">
        <v>4011</v>
      </c>
      <c r="D1607" s="69" t="s">
        <v>21</v>
      </c>
    </row>
    <row r="1608" customHeight="1" spans="1:4">
      <c r="A1608" s="43">
        <v>1605</v>
      </c>
      <c r="B1608" s="51" t="s">
        <v>4012</v>
      </c>
      <c r="C1608" s="72" t="s">
        <v>4013</v>
      </c>
      <c r="D1608" s="69" t="s">
        <v>21</v>
      </c>
    </row>
    <row r="1609" customHeight="1" spans="1:4">
      <c r="A1609" s="43">
        <v>1606</v>
      </c>
      <c r="B1609" s="51" t="s">
        <v>4014</v>
      </c>
      <c r="C1609" s="72" t="s">
        <v>4015</v>
      </c>
      <c r="D1609" s="69" t="s">
        <v>21</v>
      </c>
    </row>
    <row r="1610" customHeight="1" spans="1:4">
      <c r="A1610" s="43">
        <v>1607</v>
      </c>
      <c r="B1610" s="51" t="s">
        <v>4016</v>
      </c>
      <c r="C1610" s="72" t="s">
        <v>4017</v>
      </c>
      <c r="D1610" s="69" t="s">
        <v>21</v>
      </c>
    </row>
    <row r="1611" customHeight="1" spans="1:4">
      <c r="A1611" s="43">
        <v>1608</v>
      </c>
      <c r="B1611" s="51" t="s">
        <v>4018</v>
      </c>
      <c r="C1611" s="72" t="s">
        <v>4019</v>
      </c>
      <c r="D1611" s="69" t="s">
        <v>21</v>
      </c>
    </row>
    <row r="1612" customHeight="1" spans="1:4">
      <c r="A1612" s="43">
        <v>1609</v>
      </c>
      <c r="B1612" s="51" t="s">
        <v>4020</v>
      </c>
      <c r="C1612" s="72" t="s">
        <v>4021</v>
      </c>
      <c r="D1612" s="69" t="s">
        <v>21</v>
      </c>
    </row>
    <row r="1613" customHeight="1" spans="1:4">
      <c r="A1613" s="43">
        <v>1610</v>
      </c>
      <c r="B1613" s="51" t="s">
        <v>4022</v>
      </c>
      <c r="C1613" s="72" t="s">
        <v>4023</v>
      </c>
      <c r="D1613" s="69" t="s">
        <v>21</v>
      </c>
    </row>
    <row r="1614" customHeight="1" spans="1:4">
      <c r="A1614" s="43">
        <v>1611</v>
      </c>
      <c r="B1614" s="51" t="s">
        <v>4024</v>
      </c>
      <c r="C1614" s="72" t="s">
        <v>4025</v>
      </c>
      <c r="D1614" s="69" t="s">
        <v>21</v>
      </c>
    </row>
    <row r="1615" customHeight="1" spans="1:4">
      <c r="A1615" s="43">
        <v>1612</v>
      </c>
      <c r="B1615" s="51" t="s">
        <v>4026</v>
      </c>
      <c r="C1615" s="72" t="s">
        <v>4027</v>
      </c>
      <c r="D1615" s="69" t="s">
        <v>21</v>
      </c>
    </row>
    <row r="1616" customHeight="1" spans="1:4">
      <c r="A1616" s="43">
        <v>1613</v>
      </c>
      <c r="B1616" s="51" t="s">
        <v>4028</v>
      </c>
      <c r="C1616" s="72" t="s">
        <v>4029</v>
      </c>
      <c r="D1616" s="69" t="s">
        <v>21</v>
      </c>
    </row>
    <row r="1617" customHeight="1" spans="1:4">
      <c r="A1617" s="43">
        <v>1614</v>
      </c>
      <c r="B1617" s="51" t="s">
        <v>4030</v>
      </c>
      <c r="C1617" s="72" t="s">
        <v>4031</v>
      </c>
      <c r="D1617" s="69" t="s">
        <v>21</v>
      </c>
    </row>
    <row r="1618" customHeight="1" spans="1:4">
      <c r="A1618" s="43">
        <v>1615</v>
      </c>
      <c r="B1618" s="51" t="s">
        <v>4032</v>
      </c>
      <c r="C1618" s="72" t="s">
        <v>4033</v>
      </c>
      <c r="D1618" s="69" t="s">
        <v>21</v>
      </c>
    </row>
    <row r="1619" customHeight="1" spans="1:4">
      <c r="A1619" s="43">
        <v>1616</v>
      </c>
      <c r="B1619" s="51" t="s">
        <v>4034</v>
      </c>
      <c r="C1619" s="72" t="s">
        <v>4035</v>
      </c>
      <c r="D1619" s="69" t="s">
        <v>21</v>
      </c>
    </row>
    <row r="1620" customHeight="1" spans="1:4">
      <c r="A1620" s="43">
        <v>1617</v>
      </c>
      <c r="B1620" s="51" t="s">
        <v>4036</v>
      </c>
      <c r="C1620" s="72" t="s">
        <v>4037</v>
      </c>
      <c r="D1620" s="69" t="s">
        <v>21</v>
      </c>
    </row>
    <row r="1621" customHeight="1" spans="1:4">
      <c r="A1621" s="43">
        <v>1618</v>
      </c>
      <c r="B1621" s="51" t="s">
        <v>4038</v>
      </c>
      <c r="C1621" s="72" t="s">
        <v>4039</v>
      </c>
      <c r="D1621" s="69" t="s">
        <v>4040</v>
      </c>
    </row>
    <row r="1622" customHeight="1" spans="1:4">
      <c r="A1622" s="43">
        <v>1619</v>
      </c>
      <c r="B1622" s="51" t="s">
        <v>4041</v>
      </c>
      <c r="C1622" s="72" t="s">
        <v>4042</v>
      </c>
      <c r="D1622" s="69" t="s">
        <v>3762</v>
      </c>
    </row>
    <row r="1623" customHeight="1" spans="1:4">
      <c r="A1623" s="43">
        <v>1620</v>
      </c>
      <c r="B1623" s="51" t="s">
        <v>4043</v>
      </c>
      <c r="C1623" s="72" t="s">
        <v>4044</v>
      </c>
      <c r="D1623" s="69" t="s">
        <v>21</v>
      </c>
    </row>
    <row r="1624" customHeight="1" spans="1:4">
      <c r="A1624" s="43">
        <v>1621</v>
      </c>
      <c r="B1624" s="51" t="s">
        <v>4045</v>
      </c>
      <c r="C1624" s="72" t="s">
        <v>4046</v>
      </c>
      <c r="D1624" s="69" t="s">
        <v>21</v>
      </c>
    </row>
    <row r="1625" customHeight="1" spans="1:4">
      <c r="A1625" s="43">
        <v>1622</v>
      </c>
      <c r="B1625" s="51" t="s">
        <v>4047</v>
      </c>
      <c r="C1625" s="72" t="s">
        <v>4048</v>
      </c>
      <c r="D1625" s="69" t="s">
        <v>21</v>
      </c>
    </row>
    <row r="1626" customHeight="1" spans="1:4">
      <c r="A1626" s="43">
        <v>1623</v>
      </c>
      <c r="B1626" s="51" t="s">
        <v>4049</v>
      </c>
      <c r="C1626" s="72" t="s">
        <v>4050</v>
      </c>
      <c r="D1626" s="69" t="s">
        <v>21</v>
      </c>
    </row>
    <row r="1627" customHeight="1" spans="1:4">
      <c r="A1627" s="43">
        <v>1624</v>
      </c>
      <c r="B1627" s="51" t="s">
        <v>4051</v>
      </c>
      <c r="C1627" s="72" t="s">
        <v>4052</v>
      </c>
      <c r="D1627" s="69" t="s">
        <v>21</v>
      </c>
    </row>
    <row r="1628" customHeight="1" spans="1:4">
      <c r="A1628" s="43">
        <v>1625</v>
      </c>
      <c r="B1628" s="51" t="s">
        <v>4053</v>
      </c>
      <c r="C1628" s="72" t="s">
        <v>4054</v>
      </c>
      <c r="D1628" s="69" t="s">
        <v>21</v>
      </c>
    </row>
    <row r="1629" customHeight="1" spans="1:4">
      <c r="A1629" s="43">
        <v>1626</v>
      </c>
      <c r="B1629" s="51" t="s">
        <v>4055</v>
      </c>
      <c r="C1629" s="72" t="s">
        <v>4056</v>
      </c>
      <c r="D1629" s="69" t="s">
        <v>21</v>
      </c>
    </row>
    <row r="1630" customHeight="1" spans="1:4">
      <c r="A1630" s="43">
        <v>1627</v>
      </c>
      <c r="B1630" s="51" t="s">
        <v>4057</v>
      </c>
      <c r="C1630" s="72" t="s">
        <v>4058</v>
      </c>
      <c r="D1630" s="69" t="s">
        <v>21</v>
      </c>
    </row>
    <row r="1631" customHeight="1" spans="1:4">
      <c r="A1631" s="43">
        <v>1628</v>
      </c>
      <c r="B1631" s="51" t="s">
        <v>4059</v>
      </c>
      <c r="C1631" s="72" t="s">
        <v>4060</v>
      </c>
      <c r="D1631" s="69" t="s">
        <v>21</v>
      </c>
    </row>
    <row r="1632" customHeight="1" spans="1:4">
      <c r="A1632" s="43">
        <v>1629</v>
      </c>
      <c r="B1632" s="51" t="s">
        <v>4061</v>
      </c>
      <c r="C1632" s="72" t="s">
        <v>4062</v>
      </c>
      <c r="D1632" s="69" t="s">
        <v>21</v>
      </c>
    </row>
    <row r="1633" customHeight="1" spans="1:4">
      <c r="A1633" s="43">
        <v>1630</v>
      </c>
      <c r="B1633" s="51" t="s">
        <v>4063</v>
      </c>
      <c r="C1633" s="72" t="s">
        <v>4064</v>
      </c>
      <c r="D1633" s="69" t="s">
        <v>21</v>
      </c>
    </row>
    <row r="1634" customHeight="1" spans="1:4">
      <c r="A1634" s="43">
        <v>1631</v>
      </c>
      <c r="B1634" s="51" t="s">
        <v>4065</v>
      </c>
      <c r="C1634" s="72" t="s">
        <v>4066</v>
      </c>
      <c r="D1634" s="69" t="s">
        <v>21</v>
      </c>
    </row>
    <row r="1635" customHeight="1" spans="1:4">
      <c r="A1635" s="43">
        <v>1632</v>
      </c>
      <c r="B1635" s="51" t="s">
        <v>4067</v>
      </c>
      <c r="C1635" s="72" t="s">
        <v>4068</v>
      </c>
      <c r="D1635" s="69" t="s">
        <v>21</v>
      </c>
    </row>
    <row r="1636" customHeight="1" spans="1:4">
      <c r="A1636" s="43">
        <v>1633</v>
      </c>
      <c r="B1636" s="51" t="s">
        <v>4069</v>
      </c>
      <c r="C1636" s="72" t="s">
        <v>4070</v>
      </c>
      <c r="D1636" s="69" t="s">
        <v>21</v>
      </c>
    </row>
    <row r="1637" customHeight="1" spans="1:4">
      <c r="A1637" s="43">
        <v>1634</v>
      </c>
      <c r="B1637" s="51" t="s">
        <v>4071</v>
      </c>
      <c r="C1637" s="72" t="s">
        <v>4072</v>
      </c>
      <c r="D1637" s="69" t="s">
        <v>21</v>
      </c>
    </row>
    <row r="1638" customHeight="1" spans="1:4">
      <c r="A1638" s="43">
        <v>1635</v>
      </c>
      <c r="B1638" s="51" t="s">
        <v>4073</v>
      </c>
      <c r="C1638" s="72" t="s">
        <v>4074</v>
      </c>
      <c r="D1638" s="69" t="s">
        <v>21</v>
      </c>
    </row>
    <row r="1639" customHeight="1" spans="1:4">
      <c r="A1639" s="43">
        <v>1636</v>
      </c>
      <c r="B1639" s="51" t="s">
        <v>4075</v>
      </c>
      <c r="C1639" s="72" t="s">
        <v>4076</v>
      </c>
      <c r="D1639" s="69" t="s">
        <v>21</v>
      </c>
    </row>
    <row r="1640" customHeight="1" spans="1:4">
      <c r="A1640" s="43">
        <v>1637</v>
      </c>
      <c r="B1640" s="51" t="s">
        <v>4077</v>
      </c>
      <c r="C1640" s="72" t="s">
        <v>4078</v>
      </c>
      <c r="D1640" s="69" t="s">
        <v>21</v>
      </c>
    </row>
    <row r="1641" customHeight="1" spans="1:4">
      <c r="A1641" s="43">
        <v>1638</v>
      </c>
      <c r="B1641" s="51" t="s">
        <v>4079</v>
      </c>
      <c r="C1641" s="72" t="s">
        <v>4080</v>
      </c>
      <c r="D1641" s="69" t="s">
        <v>21</v>
      </c>
    </row>
    <row r="1642" customHeight="1" spans="1:4">
      <c r="A1642" s="43">
        <v>1639</v>
      </c>
      <c r="B1642" s="51" t="s">
        <v>4081</v>
      </c>
      <c r="C1642" s="72" t="s">
        <v>4082</v>
      </c>
      <c r="D1642" s="69" t="s">
        <v>991</v>
      </c>
    </row>
    <row r="1643" customHeight="1" spans="1:4">
      <c r="A1643" s="43">
        <v>1640</v>
      </c>
      <c r="B1643" s="51" t="s">
        <v>4083</v>
      </c>
      <c r="C1643" s="72" t="s">
        <v>4084</v>
      </c>
      <c r="D1643" s="69" t="s">
        <v>991</v>
      </c>
    </row>
    <row r="1644" customHeight="1" spans="1:4">
      <c r="A1644" s="43">
        <v>1641</v>
      </c>
      <c r="B1644" s="51" t="s">
        <v>4085</v>
      </c>
      <c r="C1644" s="72" t="s">
        <v>4086</v>
      </c>
      <c r="D1644" s="69" t="s">
        <v>21</v>
      </c>
    </row>
    <row r="1645" customHeight="1" spans="1:4">
      <c r="A1645" s="43">
        <v>1642</v>
      </c>
      <c r="B1645" s="51" t="s">
        <v>4087</v>
      </c>
      <c r="C1645" s="72" t="s">
        <v>4088</v>
      </c>
      <c r="D1645" s="69" t="s">
        <v>21</v>
      </c>
    </row>
    <row r="1646" customHeight="1" spans="1:4">
      <c r="A1646" s="43">
        <v>1643</v>
      </c>
      <c r="B1646" s="51" t="s">
        <v>4089</v>
      </c>
      <c r="C1646" s="72" t="s">
        <v>4090</v>
      </c>
      <c r="D1646" s="69" t="s">
        <v>21</v>
      </c>
    </row>
    <row r="1647" customHeight="1" spans="1:4">
      <c r="A1647" s="43">
        <v>1644</v>
      </c>
      <c r="B1647" s="51" t="s">
        <v>4091</v>
      </c>
      <c r="C1647" s="72" t="s">
        <v>4092</v>
      </c>
      <c r="D1647" s="69" t="s">
        <v>21</v>
      </c>
    </row>
    <row r="1648" customHeight="1" spans="1:4">
      <c r="A1648" s="43">
        <v>1645</v>
      </c>
      <c r="B1648" s="51" t="s">
        <v>4093</v>
      </c>
      <c r="C1648" s="72" t="s">
        <v>4094</v>
      </c>
      <c r="D1648" s="69" t="s">
        <v>21</v>
      </c>
    </row>
    <row r="1649" customHeight="1" spans="1:4">
      <c r="A1649" s="43">
        <v>1646</v>
      </c>
      <c r="B1649" s="51" t="s">
        <v>4095</v>
      </c>
      <c r="C1649" s="72" t="s">
        <v>4096</v>
      </c>
      <c r="D1649" s="69" t="s">
        <v>21</v>
      </c>
    </row>
    <row r="1650" customHeight="1" spans="1:4">
      <c r="A1650" s="43">
        <v>1647</v>
      </c>
      <c r="B1650" s="51" t="s">
        <v>4097</v>
      </c>
      <c r="C1650" s="72" t="s">
        <v>4098</v>
      </c>
      <c r="D1650" s="69" t="s">
        <v>21</v>
      </c>
    </row>
    <row r="1651" customHeight="1" spans="1:4">
      <c r="A1651" s="43">
        <v>1648</v>
      </c>
      <c r="B1651" s="51" t="s">
        <v>4099</v>
      </c>
      <c r="C1651" s="72" t="s">
        <v>4100</v>
      </c>
      <c r="D1651" s="69" t="s">
        <v>21</v>
      </c>
    </row>
    <row r="1652" customHeight="1" spans="1:4">
      <c r="A1652" s="43">
        <v>1649</v>
      </c>
      <c r="B1652" s="51" t="s">
        <v>4101</v>
      </c>
      <c r="C1652" s="72" t="s">
        <v>4102</v>
      </c>
      <c r="D1652" s="69" t="s">
        <v>21</v>
      </c>
    </row>
    <row r="1653" customHeight="1" spans="1:4">
      <c r="A1653" s="43">
        <v>1650</v>
      </c>
      <c r="B1653" s="51" t="s">
        <v>4103</v>
      </c>
      <c r="C1653" s="72" t="s">
        <v>4104</v>
      </c>
      <c r="D1653" s="69" t="s">
        <v>991</v>
      </c>
    </row>
    <row r="1654" customHeight="1" spans="1:4">
      <c r="A1654" s="43">
        <v>1651</v>
      </c>
      <c r="B1654" s="51" t="s">
        <v>4105</v>
      </c>
      <c r="C1654" s="72" t="s">
        <v>4106</v>
      </c>
      <c r="D1654" s="69" t="s">
        <v>21</v>
      </c>
    </row>
    <row r="1655" customHeight="1" spans="1:4">
      <c r="A1655" s="43">
        <v>1652</v>
      </c>
      <c r="B1655" s="51" t="s">
        <v>4107</v>
      </c>
      <c r="C1655" s="72" t="s">
        <v>4108</v>
      </c>
      <c r="D1655" s="69" t="s">
        <v>21</v>
      </c>
    </row>
    <row r="1656" customHeight="1" spans="1:4">
      <c r="A1656" s="43">
        <v>1653</v>
      </c>
      <c r="B1656" s="51" t="s">
        <v>4109</v>
      </c>
      <c r="C1656" s="72" t="s">
        <v>4110</v>
      </c>
      <c r="D1656" s="69" t="s">
        <v>21</v>
      </c>
    </row>
    <row r="1657" customHeight="1" spans="1:4">
      <c r="A1657" s="43">
        <v>1654</v>
      </c>
      <c r="B1657" s="51" t="s">
        <v>4111</v>
      </c>
      <c r="C1657" s="72" t="s">
        <v>4112</v>
      </c>
      <c r="D1657" s="69" t="s">
        <v>21</v>
      </c>
    </row>
    <row r="1658" customHeight="1" spans="1:4">
      <c r="A1658" s="43">
        <v>1655</v>
      </c>
      <c r="B1658" s="51" t="s">
        <v>4113</v>
      </c>
      <c r="C1658" s="72" t="s">
        <v>4114</v>
      </c>
      <c r="D1658" s="69" t="s">
        <v>21</v>
      </c>
    </row>
    <row r="1659" customHeight="1" spans="1:4">
      <c r="A1659" s="43">
        <v>1656</v>
      </c>
      <c r="B1659" s="51" t="s">
        <v>4115</v>
      </c>
      <c r="C1659" s="72" t="s">
        <v>4116</v>
      </c>
      <c r="D1659" s="69" t="s">
        <v>21</v>
      </c>
    </row>
    <row r="1660" customHeight="1" spans="1:4">
      <c r="A1660" s="43">
        <v>1657</v>
      </c>
      <c r="B1660" s="51" t="s">
        <v>4117</v>
      </c>
      <c r="C1660" s="72" t="s">
        <v>4118</v>
      </c>
      <c r="D1660" s="69" t="s">
        <v>21</v>
      </c>
    </row>
    <row r="1661" customHeight="1" spans="1:4">
      <c r="A1661" s="43">
        <v>1658</v>
      </c>
      <c r="B1661" s="51" t="s">
        <v>4119</v>
      </c>
      <c r="C1661" s="72" t="s">
        <v>4120</v>
      </c>
      <c r="D1661" s="69" t="s">
        <v>21</v>
      </c>
    </row>
    <row r="1662" customHeight="1" spans="1:4">
      <c r="A1662" s="43">
        <v>1659</v>
      </c>
      <c r="B1662" s="51" t="s">
        <v>4121</v>
      </c>
      <c r="C1662" s="72" t="s">
        <v>4122</v>
      </c>
      <c r="D1662" s="69" t="s">
        <v>21</v>
      </c>
    </row>
    <row r="1663" customHeight="1" spans="1:4">
      <c r="A1663" s="43">
        <v>1660</v>
      </c>
      <c r="B1663" s="51" t="s">
        <v>4123</v>
      </c>
      <c r="C1663" s="72" t="s">
        <v>4124</v>
      </c>
      <c r="D1663" s="69" t="s">
        <v>21</v>
      </c>
    </row>
    <row r="1664" customHeight="1" spans="1:4">
      <c r="A1664" s="43">
        <v>1661</v>
      </c>
      <c r="B1664" s="51" t="s">
        <v>4125</v>
      </c>
      <c r="C1664" s="72" t="s">
        <v>4126</v>
      </c>
      <c r="D1664" s="69" t="s">
        <v>21</v>
      </c>
    </row>
    <row r="1665" customHeight="1" spans="1:4">
      <c r="A1665" s="43">
        <v>1662</v>
      </c>
      <c r="B1665" s="51" t="s">
        <v>4127</v>
      </c>
      <c r="C1665" s="72" t="s">
        <v>4128</v>
      </c>
      <c r="D1665" s="69" t="s">
        <v>21</v>
      </c>
    </row>
    <row r="1666" customHeight="1" spans="1:4">
      <c r="A1666" s="43">
        <v>1663</v>
      </c>
      <c r="B1666" s="51" t="s">
        <v>4129</v>
      </c>
      <c r="C1666" s="72" t="s">
        <v>4130</v>
      </c>
      <c r="D1666" s="69" t="s">
        <v>21</v>
      </c>
    </row>
    <row r="1667" customHeight="1" spans="1:4">
      <c r="A1667" s="43">
        <v>1664</v>
      </c>
      <c r="B1667" s="51" t="s">
        <v>4131</v>
      </c>
      <c r="C1667" s="72" t="s">
        <v>4132</v>
      </c>
      <c r="D1667" s="69" t="s">
        <v>21</v>
      </c>
    </row>
    <row r="1668" customHeight="1" spans="1:4">
      <c r="A1668" s="43">
        <v>1665</v>
      </c>
      <c r="B1668" s="51" t="s">
        <v>4133</v>
      </c>
      <c r="C1668" s="72" t="s">
        <v>4134</v>
      </c>
      <c r="D1668" s="69" t="s">
        <v>21</v>
      </c>
    </row>
    <row r="1669" customHeight="1" spans="1:4">
      <c r="A1669" s="43">
        <v>1666</v>
      </c>
      <c r="B1669" s="51" t="s">
        <v>4135</v>
      </c>
      <c r="C1669" s="72" t="s">
        <v>4136</v>
      </c>
      <c r="D1669" s="69" t="s">
        <v>21</v>
      </c>
    </row>
    <row r="1670" customHeight="1" spans="1:4">
      <c r="A1670" s="43">
        <v>1667</v>
      </c>
      <c r="B1670" s="51" t="s">
        <v>4137</v>
      </c>
      <c r="C1670" s="72" t="s">
        <v>4138</v>
      </c>
      <c r="D1670" s="69" t="s">
        <v>21</v>
      </c>
    </row>
    <row r="1671" customHeight="1" spans="1:4">
      <c r="A1671" s="43">
        <v>1668</v>
      </c>
      <c r="B1671" s="51" t="s">
        <v>4139</v>
      </c>
      <c r="C1671" s="72" t="s">
        <v>4140</v>
      </c>
      <c r="D1671" s="69" t="s">
        <v>21</v>
      </c>
    </row>
    <row r="1672" customHeight="1" spans="1:4">
      <c r="A1672" s="43">
        <v>1669</v>
      </c>
      <c r="B1672" s="51" t="s">
        <v>4141</v>
      </c>
      <c r="C1672" s="72" t="s">
        <v>4142</v>
      </c>
      <c r="D1672" s="69" t="s">
        <v>21</v>
      </c>
    </row>
    <row r="1673" customHeight="1" spans="1:4">
      <c r="A1673" s="43">
        <v>1670</v>
      </c>
      <c r="B1673" s="51" t="s">
        <v>4143</v>
      </c>
      <c r="C1673" s="72" t="s">
        <v>4144</v>
      </c>
      <c r="D1673" s="69" t="s">
        <v>21</v>
      </c>
    </row>
    <row r="1674" customHeight="1" spans="1:4">
      <c r="A1674" s="43">
        <v>1671</v>
      </c>
      <c r="B1674" s="51" t="s">
        <v>4145</v>
      </c>
      <c r="C1674" s="72" t="s">
        <v>4146</v>
      </c>
      <c r="D1674" s="69" t="s">
        <v>21</v>
      </c>
    </row>
    <row r="1675" customHeight="1" spans="1:4">
      <c r="A1675" s="43">
        <v>1672</v>
      </c>
      <c r="B1675" s="51" t="s">
        <v>4147</v>
      </c>
      <c r="C1675" s="72" t="s">
        <v>4148</v>
      </c>
      <c r="D1675" s="69" t="s">
        <v>21</v>
      </c>
    </row>
    <row r="1676" customHeight="1" spans="1:4">
      <c r="A1676" s="43">
        <v>1673</v>
      </c>
      <c r="B1676" s="51" t="s">
        <v>4149</v>
      </c>
      <c r="C1676" s="72" t="s">
        <v>4150</v>
      </c>
      <c r="D1676" s="69" t="s">
        <v>21</v>
      </c>
    </row>
    <row r="1677" customHeight="1" spans="1:4">
      <c r="A1677" s="43">
        <v>1674</v>
      </c>
      <c r="B1677" s="51" t="s">
        <v>4151</v>
      </c>
      <c r="C1677" s="72" t="s">
        <v>4152</v>
      </c>
      <c r="D1677" s="69" t="s">
        <v>21</v>
      </c>
    </row>
    <row r="1678" customHeight="1" spans="1:4">
      <c r="A1678" s="43">
        <v>1675</v>
      </c>
      <c r="B1678" s="51" t="s">
        <v>4153</v>
      </c>
      <c r="C1678" s="72" t="s">
        <v>4154</v>
      </c>
      <c r="D1678" s="69" t="s">
        <v>21</v>
      </c>
    </row>
    <row r="1679" customHeight="1" spans="1:4">
      <c r="A1679" s="43">
        <v>1676</v>
      </c>
      <c r="B1679" s="51" t="s">
        <v>4155</v>
      </c>
      <c r="C1679" s="72" t="s">
        <v>4156</v>
      </c>
      <c r="D1679" s="69" t="s">
        <v>21</v>
      </c>
    </row>
    <row r="1680" customHeight="1" spans="1:4">
      <c r="A1680" s="43">
        <v>1677</v>
      </c>
      <c r="B1680" s="51" t="s">
        <v>4157</v>
      </c>
      <c r="C1680" s="72" t="s">
        <v>4158</v>
      </c>
      <c r="D1680" s="69" t="s">
        <v>21</v>
      </c>
    </row>
    <row r="1681" customHeight="1" spans="1:4">
      <c r="A1681" s="43">
        <v>1678</v>
      </c>
      <c r="B1681" s="51" t="s">
        <v>4159</v>
      </c>
      <c r="C1681" s="72" t="s">
        <v>4160</v>
      </c>
      <c r="D1681" s="69" t="s">
        <v>21</v>
      </c>
    </row>
    <row r="1682" customHeight="1" spans="1:4">
      <c r="A1682" s="43">
        <v>1679</v>
      </c>
      <c r="B1682" s="51" t="s">
        <v>4161</v>
      </c>
      <c r="C1682" s="72" t="s">
        <v>4162</v>
      </c>
      <c r="D1682" s="69" t="s">
        <v>21</v>
      </c>
    </row>
    <row r="1683" customHeight="1" spans="1:4">
      <c r="A1683" s="43">
        <v>1680</v>
      </c>
      <c r="B1683" s="51" t="s">
        <v>4163</v>
      </c>
      <c r="C1683" s="72" t="s">
        <v>4164</v>
      </c>
      <c r="D1683" s="69" t="s">
        <v>21</v>
      </c>
    </row>
    <row r="1684" customHeight="1" spans="1:4">
      <c r="A1684" s="43">
        <v>1681</v>
      </c>
      <c r="B1684" s="51" t="s">
        <v>4165</v>
      </c>
      <c r="C1684" s="72" t="s">
        <v>4166</v>
      </c>
      <c r="D1684" s="69" t="s">
        <v>21</v>
      </c>
    </row>
    <row r="1685" customHeight="1" spans="1:4">
      <c r="A1685" s="43">
        <v>1682</v>
      </c>
      <c r="B1685" s="51" t="s">
        <v>4167</v>
      </c>
      <c r="C1685" s="72" t="s">
        <v>4168</v>
      </c>
      <c r="D1685" s="69" t="s">
        <v>21</v>
      </c>
    </row>
    <row r="1686" customHeight="1" spans="1:4">
      <c r="A1686" s="43">
        <v>1683</v>
      </c>
      <c r="B1686" s="51" t="s">
        <v>4169</v>
      </c>
      <c r="C1686" s="72" t="s">
        <v>4170</v>
      </c>
      <c r="D1686" s="69" t="s">
        <v>21</v>
      </c>
    </row>
    <row r="1687" customHeight="1" spans="1:4">
      <c r="A1687" s="43">
        <v>1684</v>
      </c>
      <c r="B1687" s="51" t="s">
        <v>4171</v>
      </c>
      <c r="C1687" s="72" t="s">
        <v>4172</v>
      </c>
      <c r="D1687" s="69" t="s">
        <v>21</v>
      </c>
    </row>
    <row r="1688" customHeight="1" spans="1:4">
      <c r="A1688" s="43">
        <v>1685</v>
      </c>
      <c r="B1688" s="51" t="s">
        <v>4173</v>
      </c>
      <c r="C1688" s="72" t="s">
        <v>4174</v>
      </c>
      <c r="D1688" s="69" t="s">
        <v>21</v>
      </c>
    </row>
    <row r="1689" customHeight="1" spans="1:4">
      <c r="A1689" s="43">
        <v>1686</v>
      </c>
      <c r="B1689" s="51" t="s">
        <v>4175</v>
      </c>
      <c r="C1689" s="72" t="s">
        <v>4176</v>
      </c>
      <c r="D1689" s="69" t="s">
        <v>21</v>
      </c>
    </row>
    <row r="1690" customHeight="1" spans="1:4">
      <c r="A1690" s="43">
        <v>1687</v>
      </c>
      <c r="B1690" s="51" t="s">
        <v>4177</v>
      </c>
      <c r="C1690" s="72" t="s">
        <v>4178</v>
      </c>
      <c r="D1690" s="69" t="s">
        <v>21</v>
      </c>
    </row>
    <row r="1691" customHeight="1" spans="1:4">
      <c r="A1691" s="43">
        <v>1688</v>
      </c>
      <c r="B1691" s="51" t="s">
        <v>4179</v>
      </c>
      <c r="C1691" s="72" t="s">
        <v>4180</v>
      </c>
      <c r="D1691" s="69" t="s">
        <v>21</v>
      </c>
    </row>
    <row r="1692" customHeight="1" spans="1:4">
      <c r="A1692" s="43">
        <v>1689</v>
      </c>
      <c r="B1692" s="51" t="s">
        <v>4181</v>
      </c>
      <c r="C1692" s="72" t="s">
        <v>4182</v>
      </c>
      <c r="D1692" s="69" t="s">
        <v>21</v>
      </c>
    </row>
    <row r="1693" customHeight="1" spans="1:4">
      <c r="A1693" s="43">
        <v>1690</v>
      </c>
      <c r="B1693" s="51" t="s">
        <v>4183</v>
      </c>
      <c r="C1693" s="72" t="s">
        <v>4184</v>
      </c>
      <c r="D1693" s="69" t="s">
        <v>21</v>
      </c>
    </row>
    <row r="1694" customHeight="1" spans="1:4">
      <c r="A1694" s="43">
        <v>1691</v>
      </c>
      <c r="B1694" s="51" t="s">
        <v>4185</v>
      </c>
      <c r="C1694" s="72" t="s">
        <v>4186</v>
      </c>
      <c r="D1694" s="69" t="s">
        <v>21</v>
      </c>
    </row>
    <row r="1695" customHeight="1" spans="1:4">
      <c r="A1695" s="43">
        <v>1692</v>
      </c>
      <c r="B1695" s="51" t="s">
        <v>4187</v>
      </c>
      <c r="C1695" s="72" t="s">
        <v>4188</v>
      </c>
      <c r="D1695" s="69" t="s">
        <v>21</v>
      </c>
    </row>
    <row r="1696" customHeight="1" spans="1:4">
      <c r="A1696" s="43">
        <v>1693</v>
      </c>
      <c r="B1696" s="51" t="s">
        <v>4189</v>
      </c>
      <c r="C1696" s="72" t="s">
        <v>4190</v>
      </c>
      <c r="D1696" s="69" t="s">
        <v>21</v>
      </c>
    </row>
    <row r="1697" customHeight="1" spans="1:4">
      <c r="A1697" s="43">
        <v>1694</v>
      </c>
      <c r="B1697" s="51" t="s">
        <v>4191</v>
      </c>
      <c r="C1697" s="72" t="s">
        <v>4192</v>
      </c>
      <c r="D1697" s="69" t="s">
        <v>21</v>
      </c>
    </row>
    <row r="1698" customHeight="1" spans="1:4">
      <c r="A1698" s="43">
        <v>1695</v>
      </c>
      <c r="B1698" s="51" t="s">
        <v>4193</v>
      </c>
      <c r="C1698" s="72" t="s">
        <v>4194</v>
      </c>
      <c r="D1698" s="69" t="s">
        <v>21</v>
      </c>
    </row>
    <row r="1699" customHeight="1" spans="1:4">
      <c r="A1699" s="43">
        <v>1696</v>
      </c>
      <c r="B1699" s="51" t="s">
        <v>4195</v>
      </c>
      <c r="C1699" s="72" t="s">
        <v>4196</v>
      </c>
      <c r="D1699" s="69" t="s">
        <v>21</v>
      </c>
    </row>
    <row r="1700" customHeight="1" spans="1:4">
      <c r="A1700" s="43">
        <v>1697</v>
      </c>
      <c r="B1700" s="51" t="s">
        <v>4197</v>
      </c>
      <c r="C1700" s="72" t="s">
        <v>4198</v>
      </c>
      <c r="D1700" s="69" t="s">
        <v>21</v>
      </c>
    </row>
    <row r="1701" customHeight="1" spans="1:4">
      <c r="A1701" s="43">
        <v>1698</v>
      </c>
      <c r="B1701" s="51" t="s">
        <v>4199</v>
      </c>
      <c r="C1701" s="72" t="s">
        <v>4200</v>
      </c>
      <c r="D1701" s="69" t="s">
        <v>21</v>
      </c>
    </row>
    <row r="1702" customHeight="1" spans="1:4">
      <c r="A1702" s="43">
        <v>1699</v>
      </c>
      <c r="B1702" s="51" t="s">
        <v>4201</v>
      </c>
      <c r="C1702" s="72" t="s">
        <v>4202</v>
      </c>
      <c r="D1702" s="69" t="s">
        <v>21</v>
      </c>
    </row>
    <row r="1703" customHeight="1" spans="1:4">
      <c r="A1703" s="43">
        <v>1700</v>
      </c>
      <c r="B1703" s="51" t="s">
        <v>4203</v>
      </c>
      <c r="C1703" s="72" t="s">
        <v>4204</v>
      </c>
      <c r="D1703" s="69" t="s">
        <v>21</v>
      </c>
    </row>
    <row r="1704" customHeight="1" spans="1:4">
      <c r="A1704" s="43">
        <v>1701</v>
      </c>
      <c r="B1704" s="51" t="s">
        <v>4205</v>
      </c>
      <c r="C1704" s="72" t="s">
        <v>4206</v>
      </c>
      <c r="D1704" s="69" t="s">
        <v>21</v>
      </c>
    </row>
    <row r="1705" customHeight="1" spans="1:4">
      <c r="A1705" s="43">
        <v>1702</v>
      </c>
      <c r="B1705" s="51" t="s">
        <v>4207</v>
      </c>
      <c r="C1705" s="72" t="s">
        <v>4208</v>
      </c>
      <c r="D1705" s="69" t="s">
        <v>21</v>
      </c>
    </row>
    <row r="1706" customHeight="1" spans="1:4">
      <c r="A1706" s="43">
        <v>1703</v>
      </c>
      <c r="B1706" s="51" t="s">
        <v>4209</v>
      </c>
      <c r="C1706" s="72" t="s">
        <v>4210</v>
      </c>
      <c r="D1706" s="69" t="s">
        <v>21</v>
      </c>
    </row>
    <row r="1707" customHeight="1" spans="1:4">
      <c r="A1707" s="43">
        <v>1704</v>
      </c>
      <c r="B1707" s="51" t="s">
        <v>4211</v>
      </c>
      <c r="C1707" s="72" t="s">
        <v>4212</v>
      </c>
      <c r="D1707" s="69" t="s">
        <v>21</v>
      </c>
    </row>
    <row r="1708" customHeight="1" spans="1:4">
      <c r="A1708" s="43">
        <v>1705</v>
      </c>
      <c r="B1708" s="51" t="s">
        <v>4213</v>
      </c>
      <c r="C1708" s="72" t="s">
        <v>4214</v>
      </c>
      <c r="D1708" s="69" t="s">
        <v>21</v>
      </c>
    </row>
    <row r="1709" customHeight="1" spans="1:4">
      <c r="A1709" s="43">
        <v>1706</v>
      </c>
      <c r="B1709" s="51" t="s">
        <v>4215</v>
      </c>
      <c r="C1709" s="72" t="s">
        <v>4216</v>
      </c>
      <c r="D1709" s="69" t="s">
        <v>21</v>
      </c>
    </row>
    <row r="1710" customHeight="1" spans="1:4">
      <c r="A1710" s="43">
        <v>1707</v>
      </c>
      <c r="B1710" s="51" t="s">
        <v>4217</v>
      </c>
      <c r="C1710" s="72" t="s">
        <v>4218</v>
      </c>
      <c r="D1710" s="69" t="s">
        <v>21</v>
      </c>
    </row>
    <row r="1711" customHeight="1" spans="1:4">
      <c r="A1711" s="43">
        <v>1708</v>
      </c>
      <c r="B1711" s="51" t="s">
        <v>4219</v>
      </c>
      <c r="C1711" s="72" t="s">
        <v>4220</v>
      </c>
      <c r="D1711" s="69" t="s">
        <v>21</v>
      </c>
    </row>
    <row r="1712" customHeight="1" spans="1:4">
      <c r="A1712" s="43">
        <v>1709</v>
      </c>
      <c r="B1712" s="51" t="s">
        <v>4221</v>
      </c>
      <c r="C1712" s="72" t="s">
        <v>4222</v>
      </c>
      <c r="D1712" s="69" t="s">
        <v>991</v>
      </c>
    </row>
    <row r="1713" customHeight="1" spans="1:4">
      <c r="A1713" s="43">
        <v>1710</v>
      </c>
      <c r="B1713" s="51" t="s">
        <v>4223</v>
      </c>
      <c r="C1713" s="72" t="s">
        <v>4224</v>
      </c>
      <c r="D1713" s="69" t="s">
        <v>991</v>
      </c>
    </row>
    <row r="1714" customHeight="1" spans="1:4">
      <c r="A1714" s="43">
        <v>1711</v>
      </c>
      <c r="B1714" s="51" t="s">
        <v>4225</v>
      </c>
      <c r="C1714" s="72" t="s">
        <v>4226</v>
      </c>
      <c r="D1714" s="69" t="s">
        <v>21</v>
      </c>
    </row>
    <row r="1715" customHeight="1" spans="1:4">
      <c r="A1715" s="43">
        <v>1712</v>
      </c>
      <c r="B1715" s="51" t="s">
        <v>4227</v>
      </c>
      <c r="C1715" s="72" t="s">
        <v>4228</v>
      </c>
      <c r="D1715" s="69" t="s">
        <v>21</v>
      </c>
    </row>
    <row r="1716" customHeight="1" spans="1:4">
      <c r="A1716" s="43">
        <v>1713</v>
      </c>
      <c r="B1716" s="51" t="s">
        <v>4229</v>
      </c>
      <c r="C1716" s="72" t="s">
        <v>4230</v>
      </c>
      <c r="D1716" s="69" t="s">
        <v>21</v>
      </c>
    </row>
    <row r="1717" customHeight="1" spans="1:4">
      <c r="A1717" s="43">
        <v>1714</v>
      </c>
      <c r="B1717" s="51" t="s">
        <v>4231</v>
      </c>
      <c r="C1717" s="72" t="s">
        <v>4232</v>
      </c>
      <c r="D1717" s="69" t="s">
        <v>991</v>
      </c>
    </row>
    <row r="1718" customHeight="1" spans="1:4">
      <c r="A1718" s="43">
        <v>1715</v>
      </c>
      <c r="B1718" s="51" t="s">
        <v>4233</v>
      </c>
      <c r="C1718" s="72" t="s">
        <v>4234</v>
      </c>
      <c r="D1718" s="69" t="s">
        <v>21</v>
      </c>
    </row>
    <row r="1719" customHeight="1" spans="1:4">
      <c r="A1719" s="43">
        <v>1716</v>
      </c>
      <c r="B1719" s="51" t="s">
        <v>4235</v>
      </c>
      <c r="C1719" s="72" t="s">
        <v>4236</v>
      </c>
      <c r="D1719" s="69" t="s">
        <v>991</v>
      </c>
    </row>
    <row r="1720" customHeight="1" spans="1:4">
      <c r="A1720" s="43">
        <v>1717</v>
      </c>
      <c r="B1720" s="51" t="s">
        <v>4237</v>
      </c>
      <c r="C1720" s="72" t="s">
        <v>4238</v>
      </c>
      <c r="D1720" s="69" t="s">
        <v>4239</v>
      </c>
    </row>
    <row r="1721" customHeight="1" spans="1:4">
      <c r="A1721" s="43">
        <v>1718</v>
      </c>
      <c r="B1721" s="51" t="s">
        <v>4240</v>
      </c>
      <c r="C1721" s="72" t="s">
        <v>4241</v>
      </c>
      <c r="D1721" s="69" t="s">
        <v>21</v>
      </c>
    </row>
    <row r="1722" customHeight="1" spans="1:4">
      <c r="A1722" s="43">
        <v>1719</v>
      </c>
      <c r="B1722" s="51" t="s">
        <v>4242</v>
      </c>
      <c r="C1722" s="72" t="s">
        <v>4243</v>
      </c>
      <c r="D1722" s="69" t="s">
        <v>21</v>
      </c>
    </row>
    <row r="1723" customHeight="1" spans="1:4">
      <c r="A1723" s="43">
        <v>1720</v>
      </c>
      <c r="B1723" s="51" t="s">
        <v>4244</v>
      </c>
      <c r="C1723" s="72" t="s">
        <v>4245</v>
      </c>
      <c r="D1723" s="69" t="s">
        <v>4239</v>
      </c>
    </row>
    <row r="1724" customHeight="1" spans="1:4">
      <c r="A1724" s="43">
        <v>1721</v>
      </c>
      <c r="B1724" s="51" t="s">
        <v>4246</v>
      </c>
      <c r="C1724" s="72" t="s">
        <v>4247</v>
      </c>
      <c r="D1724" s="69" t="s">
        <v>4248</v>
      </c>
    </row>
    <row r="1725" customHeight="1" spans="1:4">
      <c r="A1725" s="43">
        <v>1722</v>
      </c>
      <c r="B1725" s="51" t="s">
        <v>4249</v>
      </c>
      <c r="C1725" s="72" t="s">
        <v>4250</v>
      </c>
      <c r="D1725" s="69" t="s">
        <v>21</v>
      </c>
    </row>
    <row r="1726" customHeight="1" spans="1:4">
      <c r="A1726" s="43">
        <v>1723</v>
      </c>
      <c r="B1726" s="51" t="s">
        <v>4251</v>
      </c>
      <c r="C1726" s="72" t="s">
        <v>4252</v>
      </c>
      <c r="D1726" s="69" t="s">
        <v>21</v>
      </c>
    </row>
    <row r="1727" customHeight="1" spans="1:4">
      <c r="A1727" s="43">
        <v>1724</v>
      </c>
      <c r="B1727" s="51" t="s">
        <v>4253</v>
      </c>
      <c r="C1727" s="72" t="s">
        <v>4254</v>
      </c>
      <c r="D1727" s="69" t="s">
        <v>21</v>
      </c>
    </row>
    <row r="1728" customHeight="1" spans="1:4">
      <c r="A1728" s="43">
        <v>1725</v>
      </c>
      <c r="B1728" s="51" t="s">
        <v>4255</v>
      </c>
      <c r="C1728" s="72" t="s">
        <v>4256</v>
      </c>
      <c r="D1728" s="69" t="s">
        <v>21</v>
      </c>
    </row>
    <row r="1729" customHeight="1" spans="1:4">
      <c r="A1729" s="43">
        <v>1726</v>
      </c>
      <c r="B1729" s="51" t="s">
        <v>4257</v>
      </c>
      <c r="C1729" s="72" t="s">
        <v>4258</v>
      </c>
      <c r="D1729" s="69" t="s">
        <v>21</v>
      </c>
    </row>
    <row r="1730" customHeight="1" spans="1:4">
      <c r="A1730" s="43">
        <v>1727</v>
      </c>
      <c r="B1730" s="51" t="s">
        <v>4259</v>
      </c>
      <c r="C1730" s="72" t="s">
        <v>4260</v>
      </c>
      <c r="D1730" s="69" t="s">
        <v>21</v>
      </c>
    </row>
    <row r="1731" customHeight="1" spans="1:4">
      <c r="A1731" s="43">
        <v>1728</v>
      </c>
      <c r="B1731" s="51" t="s">
        <v>4261</v>
      </c>
      <c r="C1731" s="72" t="s">
        <v>4262</v>
      </c>
      <c r="D1731" s="69" t="s">
        <v>991</v>
      </c>
    </row>
    <row r="1732" customHeight="1" spans="1:4">
      <c r="A1732" s="43">
        <v>1729</v>
      </c>
      <c r="B1732" s="51" t="s">
        <v>4263</v>
      </c>
      <c r="C1732" s="72" t="s">
        <v>4264</v>
      </c>
      <c r="D1732" s="69" t="s">
        <v>3987</v>
      </c>
    </row>
    <row r="1733" customHeight="1" spans="1:4">
      <c r="A1733" s="43">
        <v>1730</v>
      </c>
      <c r="B1733" s="51" t="s">
        <v>4265</v>
      </c>
      <c r="C1733" s="72" t="s">
        <v>4266</v>
      </c>
      <c r="D1733" s="69" t="s">
        <v>991</v>
      </c>
    </row>
    <row r="1734" customHeight="1" spans="1:4">
      <c r="A1734" s="43">
        <v>1731</v>
      </c>
      <c r="B1734" s="51" t="s">
        <v>4267</v>
      </c>
      <c r="C1734" s="72" t="s">
        <v>4268</v>
      </c>
      <c r="D1734" s="69" t="s">
        <v>21</v>
      </c>
    </row>
    <row r="1735" customHeight="1" spans="1:4">
      <c r="A1735" s="43">
        <v>1732</v>
      </c>
      <c r="B1735" s="51" t="s">
        <v>4269</v>
      </c>
      <c r="C1735" s="72" t="s">
        <v>4270</v>
      </c>
      <c r="D1735" s="69" t="s">
        <v>21</v>
      </c>
    </row>
    <row r="1736" customHeight="1" spans="1:4">
      <c r="A1736" s="43">
        <v>1733</v>
      </c>
      <c r="B1736" s="51" t="s">
        <v>4271</v>
      </c>
      <c r="C1736" s="72" t="s">
        <v>4272</v>
      </c>
      <c r="D1736" s="69" t="s">
        <v>21</v>
      </c>
    </row>
    <row r="1737" customHeight="1" spans="1:4">
      <c r="A1737" s="43">
        <v>1734</v>
      </c>
      <c r="B1737" s="51" t="s">
        <v>4273</v>
      </c>
      <c r="C1737" s="72" t="s">
        <v>4274</v>
      </c>
      <c r="D1737" s="69" t="s">
        <v>21</v>
      </c>
    </row>
    <row r="1738" customHeight="1" spans="1:4">
      <c r="A1738" s="43">
        <v>1735</v>
      </c>
      <c r="B1738" s="51" t="s">
        <v>4275</v>
      </c>
      <c r="C1738" s="72" t="s">
        <v>4276</v>
      </c>
      <c r="D1738" s="69" t="s">
        <v>4277</v>
      </c>
    </row>
    <row r="1739" customHeight="1" spans="1:4">
      <c r="A1739" s="43">
        <v>1736</v>
      </c>
      <c r="B1739" s="51" t="s">
        <v>4278</v>
      </c>
      <c r="C1739" s="72" t="s">
        <v>4279</v>
      </c>
      <c r="D1739" s="69" t="s">
        <v>21</v>
      </c>
    </row>
    <row r="1740" customHeight="1" spans="1:4">
      <c r="A1740" s="43">
        <v>1737</v>
      </c>
      <c r="B1740" s="51" t="s">
        <v>4280</v>
      </c>
      <c r="C1740" s="72" t="s">
        <v>4281</v>
      </c>
      <c r="D1740" s="69" t="s">
        <v>21</v>
      </c>
    </row>
    <row r="1741" customHeight="1" spans="1:4">
      <c r="A1741" s="43">
        <v>1738</v>
      </c>
      <c r="B1741" s="51" t="s">
        <v>4282</v>
      </c>
      <c r="C1741" s="72" t="s">
        <v>4283</v>
      </c>
      <c r="D1741" s="69" t="s">
        <v>4239</v>
      </c>
    </row>
    <row r="1742" customHeight="1" spans="1:4">
      <c r="A1742" s="43">
        <v>1739</v>
      </c>
      <c r="B1742" s="51" t="s">
        <v>4284</v>
      </c>
      <c r="C1742" s="72" t="s">
        <v>4285</v>
      </c>
      <c r="D1742" s="69" t="s">
        <v>21</v>
      </c>
    </row>
    <row r="1743" customHeight="1" spans="1:4">
      <c r="A1743" s="43">
        <v>1740</v>
      </c>
      <c r="B1743" s="51" t="s">
        <v>4286</v>
      </c>
      <c r="C1743" s="72" t="s">
        <v>4287</v>
      </c>
      <c r="D1743" s="69" t="s">
        <v>21</v>
      </c>
    </row>
    <row r="1744" customHeight="1" spans="1:4">
      <c r="A1744" s="43">
        <v>1741</v>
      </c>
      <c r="B1744" s="51" t="s">
        <v>4288</v>
      </c>
      <c r="C1744" s="72" t="s">
        <v>4289</v>
      </c>
      <c r="D1744" s="69" t="s">
        <v>991</v>
      </c>
    </row>
    <row r="1745" customHeight="1" spans="1:4">
      <c r="A1745" s="43">
        <v>1742</v>
      </c>
      <c r="B1745" s="51" t="s">
        <v>4290</v>
      </c>
      <c r="C1745" s="72" t="s">
        <v>4291</v>
      </c>
      <c r="D1745" s="69" t="s">
        <v>21</v>
      </c>
    </row>
    <row r="1746" customHeight="1" spans="1:4">
      <c r="A1746" s="43">
        <v>1743</v>
      </c>
      <c r="B1746" s="51" t="s">
        <v>4292</v>
      </c>
      <c r="C1746" s="72" t="s">
        <v>4293</v>
      </c>
      <c r="D1746" s="69" t="s">
        <v>21</v>
      </c>
    </row>
    <row r="1747" customHeight="1" spans="1:4">
      <c r="A1747" s="43">
        <v>1744</v>
      </c>
      <c r="B1747" s="51" t="s">
        <v>4294</v>
      </c>
      <c r="C1747" s="72" t="s">
        <v>4295</v>
      </c>
      <c r="D1747" s="69" t="s">
        <v>21</v>
      </c>
    </row>
    <row r="1748" customHeight="1" spans="1:4">
      <c r="A1748" s="43">
        <v>1745</v>
      </c>
      <c r="B1748" s="51" t="s">
        <v>4296</v>
      </c>
      <c r="C1748" s="72" t="s">
        <v>4297</v>
      </c>
      <c r="D1748" s="69" t="s">
        <v>21</v>
      </c>
    </row>
    <row r="1749" customHeight="1" spans="1:4">
      <c r="A1749" s="43">
        <v>1746</v>
      </c>
      <c r="B1749" s="51" t="s">
        <v>4298</v>
      </c>
      <c r="C1749" s="72" t="s">
        <v>4299</v>
      </c>
      <c r="D1749" s="69" t="s">
        <v>21</v>
      </c>
    </row>
    <row r="1750" customHeight="1" spans="1:4">
      <c r="A1750" s="43">
        <v>1747</v>
      </c>
      <c r="B1750" s="51" t="s">
        <v>4300</v>
      </c>
      <c r="C1750" s="72" t="s">
        <v>4301</v>
      </c>
      <c r="D1750" s="69" t="s">
        <v>21</v>
      </c>
    </row>
    <row r="1751" customHeight="1" spans="1:4">
      <c r="A1751" s="43">
        <v>1748</v>
      </c>
      <c r="B1751" s="51" t="s">
        <v>4302</v>
      </c>
      <c r="C1751" s="72" t="s">
        <v>4303</v>
      </c>
      <c r="D1751" s="69" t="s">
        <v>21</v>
      </c>
    </row>
    <row r="1752" customHeight="1" spans="1:4">
      <c r="A1752" s="43">
        <v>1749</v>
      </c>
      <c r="B1752" s="51" t="s">
        <v>4304</v>
      </c>
      <c r="C1752" s="72" t="s">
        <v>4305</v>
      </c>
      <c r="D1752" s="69" t="s">
        <v>21</v>
      </c>
    </row>
    <row r="1753" customHeight="1" spans="1:4">
      <c r="A1753" s="43">
        <v>1750</v>
      </c>
      <c r="B1753" s="51" t="s">
        <v>4306</v>
      </c>
      <c r="C1753" s="72" t="s">
        <v>4307</v>
      </c>
      <c r="D1753" s="69" t="s">
        <v>1815</v>
      </c>
    </row>
    <row r="1754" customHeight="1" spans="1:4">
      <c r="A1754" s="43">
        <v>1751</v>
      </c>
      <c r="B1754" s="51" t="s">
        <v>4308</v>
      </c>
      <c r="C1754" s="72" t="s">
        <v>4309</v>
      </c>
      <c r="D1754" s="69" t="s">
        <v>21</v>
      </c>
    </row>
    <row r="1755" customHeight="1" spans="1:4">
      <c r="A1755" s="43">
        <v>1752</v>
      </c>
      <c r="B1755" s="51" t="s">
        <v>4310</v>
      </c>
      <c r="C1755" s="72" t="s">
        <v>4311</v>
      </c>
      <c r="D1755" s="69" t="s">
        <v>21</v>
      </c>
    </row>
    <row r="1756" customHeight="1" spans="1:4">
      <c r="A1756" s="43">
        <v>1753</v>
      </c>
      <c r="B1756" s="51" t="s">
        <v>4312</v>
      </c>
      <c r="C1756" s="72" t="s">
        <v>4313</v>
      </c>
      <c r="D1756" s="69" t="s">
        <v>21</v>
      </c>
    </row>
    <row r="1757" customHeight="1" spans="1:4">
      <c r="A1757" s="43">
        <v>1754</v>
      </c>
      <c r="B1757" s="51" t="s">
        <v>4314</v>
      </c>
      <c r="C1757" s="72" t="s">
        <v>4315</v>
      </c>
      <c r="D1757" s="69" t="s">
        <v>21</v>
      </c>
    </row>
    <row r="1758" customHeight="1" spans="1:4">
      <c r="A1758" s="43">
        <v>1755</v>
      </c>
      <c r="B1758" s="51" t="s">
        <v>4316</v>
      </c>
      <c r="C1758" s="72" t="s">
        <v>4317</v>
      </c>
      <c r="D1758" s="69" t="s">
        <v>21</v>
      </c>
    </row>
    <row r="1759" customHeight="1" spans="1:4">
      <c r="A1759" s="43">
        <v>1756</v>
      </c>
      <c r="B1759" s="51" t="s">
        <v>4318</v>
      </c>
      <c r="C1759" s="72" t="s">
        <v>4319</v>
      </c>
      <c r="D1759" s="69" t="s">
        <v>21</v>
      </c>
    </row>
    <row r="1760" customHeight="1" spans="1:4">
      <c r="A1760" s="43">
        <v>1757</v>
      </c>
      <c r="B1760" s="51" t="s">
        <v>4320</v>
      </c>
      <c r="C1760" s="72" t="s">
        <v>4321</v>
      </c>
      <c r="D1760" s="69" t="s">
        <v>21</v>
      </c>
    </row>
    <row r="1761" customHeight="1" spans="1:4">
      <c r="A1761" s="43">
        <v>1758</v>
      </c>
      <c r="B1761" s="51" t="s">
        <v>4322</v>
      </c>
      <c r="C1761" s="72" t="s">
        <v>4323</v>
      </c>
      <c r="D1761" s="69" t="s">
        <v>21</v>
      </c>
    </row>
    <row r="1762" customHeight="1" spans="1:4">
      <c r="A1762" s="43">
        <v>1759</v>
      </c>
      <c r="B1762" s="51" t="s">
        <v>4324</v>
      </c>
      <c r="C1762" s="72" t="s">
        <v>4325</v>
      </c>
      <c r="D1762" s="69" t="s">
        <v>21</v>
      </c>
    </row>
    <row r="1763" customHeight="1" spans="1:4">
      <c r="A1763" s="43">
        <v>1760</v>
      </c>
      <c r="B1763" s="51" t="s">
        <v>4326</v>
      </c>
      <c r="C1763" s="72" t="s">
        <v>4327</v>
      </c>
      <c r="D1763" s="69" t="s">
        <v>21</v>
      </c>
    </row>
    <row r="1764" customHeight="1" spans="1:4">
      <c r="A1764" s="43">
        <v>1761</v>
      </c>
      <c r="B1764" s="51" t="s">
        <v>4328</v>
      </c>
      <c r="C1764" s="72" t="s">
        <v>4329</v>
      </c>
      <c r="D1764" s="69" t="s">
        <v>21</v>
      </c>
    </row>
    <row r="1765" customHeight="1" spans="1:4">
      <c r="A1765" s="43">
        <v>1762</v>
      </c>
      <c r="B1765" s="51" t="s">
        <v>4330</v>
      </c>
      <c r="C1765" s="52" t="s">
        <v>4331</v>
      </c>
      <c r="D1765" s="53" t="s">
        <v>21</v>
      </c>
    </row>
    <row r="1766" customHeight="1" spans="1:4">
      <c r="A1766" s="43">
        <v>1763</v>
      </c>
      <c r="B1766" s="51" t="s">
        <v>4332</v>
      </c>
      <c r="C1766" s="52" t="s">
        <v>4333</v>
      </c>
      <c r="D1766" s="53" t="s">
        <v>21</v>
      </c>
    </row>
    <row r="1767" customHeight="1" spans="1:4">
      <c r="A1767" s="43">
        <v>1764</v>
      </c>
      <c r="B1767" s="51" t="s">
        <v>4334</v>
      </c>
      <c r="C1767" s="52" t="s">
        <v>4335</v>
      </c>
      <c r="D1767" s="53" t="s">
        <v>15</v>
      </c>
    </row>
    <row r="1768" customHeight="1" spans="1:4">
      <c r="A1768" s="43">
        <v>1765</v>
      </c>
      <c r="B1768" s="51" t="s">
        <v>4336</v>
      </c>
      <c r="C1768" s="52" t="s">
        <v>4337</v>
      </c>
      <c r="D1768" s="53" t="s">
        <v>4338</v>
      </c>
    </row>
    <row r="1769" customHeight="1" spans="1:4">
      <c r="A1769" s="43">
        <v>1766</v>
      </c>
      <c r="B1769" s="51" t="s">
        <v>4339</v>
      </c>
      <c r="C1769" s="52" t="s">
        <v>4340</v>
      </c>
      <c r="D1769" s="53" t="s">
        <v>4338</v>
      </c>
    </row>
    <row r="1770" customHeight="1" spans="1:4">
      <c r="A1770" s="43">
        <v>1767</v>
      </c>
      <c r="B1770" s="51" t="s">
        <v>4341</v>
      </c>
      <c r="C1770" s="52" t="s">
        <v>4342</v>
      </c>
      <c r="D1770" s="53" t="s">
        <v>4338</v>
      </c>
    </row>
    <row r="1771" customHeight="1" spans="1:4">
      <c r="A1771" s="43">
        <v>1768</v>
      </c>
      <c r="B1771" s="51" t="s">
        <v>4343</v>
      </c>
      <c r="C1771" s="52" t="s">
        <v>4344</v>
      </c>
      <c r="D1771" s="53" t="s">
        <v>4338</v>
      </c>
    </row>
    <row r="1772" customHeight="1" spans="1:4">
      <c r="A1772" s="43">
        <v>1769</v>
      </c>
      <c r="B1772" s="51" t="s">
        <v>4345</v>
      </c>
      <c r="C1772" s="52" t="s">
        <v>4346</v>
      </c>
      <c r="D1772" s="53" t="s">
        <v>21</v>
      </c>
    </row>
    <row r="1773" customHeight="1" spans="1:4">
      <c r="A1773" s="43">
        <v>1770</v>
      </c>
      <c r="B1773" s="51" t="s">
        <v>4347</v>
      </c>
      <c r="C1773" s="52" t="s">
        <v>4348</v>
      </c>
      <c r="D1773" s="53" t="s">
        <v>21</v>
      </c>
    </row>
    <row r="1774" customHeight="1" spans="1:4">
      <c r="A1774" s="43">
        <v>1771</v>
      </c>
      <c r="B1774" s="50" t="s">
        <v>4349</v>
      </c>
      <c r="C1774" s="49" t="s">
        <v>4350</v>
      </c>
      <c r="D1774" s="50" t="s">
        <v>21</v>
      </c>
    </row>
    <row r="1775" customHeight="1" spans="1:4">
      <c r="A1775" s="43">
        <v>1772</v>
      </c>
      <c r="B1775" s="51" t="s">
        <v>4351</v>
      </c>
      <c r="C1775" s="52" t="s">
        <v>4352</v>
      </c>
      <c r="D1775" s="53" t="s">
        <v>21</v>
      </c>
    </row>
    <row r="1776" customHeight="1" spans="1:4">
      <c r="A1776" s="43">
        <v>1773</v>
      </c>
      <c r="B1776" s="51" t="s">
        <v>4353</v>
      </c>
      <c r="C1776" s="52" t="s">
        <v>4354</v>
      </c>
      <c r="D1776" s="53" t="s">
        <v>21</v>
      </c>
    </row>
    <row r="1777" customHeight="1" spans="1:4">
      <c r="A1777" s="43">
        <v>1774</v>
      </c>
      <c r="B1777" s="51" t="s">
        <v>4355</v>
      </c>
      <c r="C1777" s="52" t="s">
        <v>4356</v>
      </c>
      <c r="D1777" s="53" t="s">
        <v>21</v>
      </c>
    </row>
    <row r="1778" customHeight="1" spans="1:4">
      <c r="A1778" s="43">
        <v>1775</v>
      </c>
      <c r="B1778" s="51" t="s">
        <v>4357</v>
      </c>
      <c r="C1778" s="52" t="s">
        <v>4358</v>
      </c>
      <c r="D1778" s="53" t="s">
        <v>21</v>
      </c>
    </row>
    <row r="1779" customHeight="1" spans="1:4">
      <c r="A1779" s="43">
        <v>1776</v>
      </c>
      <c r="B1779" s="51" t="s">
        <v>4359</v>
      </c>
      <c r="C1779" s="52" t="s">
        <v>4360</v>
      </c>
      <c r="D1779" s="53" t="s">
        <v>4361</v>
      </c>
    </row>
    <row r="1780" customHeight="1" spans="1:4">
      <c r="A1780" s="43">
        <v>1777</v>
      </c>
      <c r="B1780" s="51" t="s">
        <v>4362</v>
      </c>
      <c r="C1780" s="52" t="s">
        <v>4363</v>
      </c>
      <c r="D1780" s="53" t="s">
        <v>4361</v>
      </c>
    </row>
    <row r="1781" customHeight="1" spans="1:4">
      <c r="A1781" s="43">
        <v>1778</v>
      </c>
      <c r="B1781" s="74" t="s">
        <v>4364</v>
      </c>
      <c r="C1781" s="87" t="s">
        <v>4365</v>
      </c>
      <c r="D1781" s="88" t="s">
        <v>15</v>
      </c>
    </row>
    <row r="1782" customHeight="1" spans="1:4">
      <c r="A1782" s="43">
        <v>1779</v>
      </c>
      <c r="B1782" s="51" t="s">
        <v>4366</v>
      </c>
      <c r="C1782" s="87" t="s">
        <v>4367</v>
      </c>
      <c r="D1782" s="53" t="s">
        <v>21</v>
      </c>
    </row>
    <row r="1783" customHeight="1" spans="1:4">
      <c r="A1783" s="43">
        <v>1780</v>
      </c>
      <c r="B1783" s="74" t="s">
        <v>4368</v>
      </c>
      <c r="C1783" s="87" t="s">
        <v>4369</v>
      </c>
      <c r="D1783" s="88" t="s">
        <v>15</v>
      </c>
    </row>
    <row r="1784" customHeight="1" spans="1:4">
      <c r="A1784" s="43">
        <v>1781</v>
      </c>
      <c r="B1784" s="51" t="s">
        <v>4370</v>
      </c>
      <c r="C1784" s="52" t="s">
        <v>4371</v>
      </c>
      <c r="D1784" s="53" t="s">
        <v>4372</v>
      </c>
    </row>
    <row r="1785" customHeight="1" spans="1:4">
      <c r="A1785" s="43">
        <v>1782</v>
      </c>
      <c r="B1785" s="51" t="s">
        <v>4373</v>
      </c>
      <c r="C1785" s="52" t="s">
        <v>4374</v>
      </c>
      <c r="D1785" s="53" t="s">
        <v>4372</v>
      </c>
    </row>
    <row r="1786" customHeight="1" spans="1:4">
      <c r="A1786" s="43">
        <v>1783</v>
      </c>
      <c r="B1786" s="51" t="s">
        <v>4375</v>
      </c>
      <c r="C1786" s="52" t="s">
        <v>4376</v>
      </c>
      <c r="D1786" s="53" t="s">
        <v>21</v>
      </c>
    </row>
    <row r="1787" customHeight="1" spans="1:4">
      <c r="A1787" s="43">
        <v>1784</v>
      </c>
      <c r="B1787" s="51" t="s">
        <v>4377</v>
      </c>
      <c r="C1787" s="52" t="s">
        <v>4378</v>
      </c>
      <c r="D1787" s="53" t="s">
        <v>4379</v>
      </c>
    </row>
    <row r="1788" customHeight="1" spans="1:4">
      <c r="A1788" s="43">
        <v>1785</v>
      </c>
      <c r="B1788" s="51" t="s">
        <v>4380</v>
      </c>
      <c r="C1788" s="52" t="s">
        <v>4381</v>
      </c>
      <c r="D1788" s="53" t="s">
        <v>4379</v>
      </c>
    </row>
    <row r="1789" customHeight="1" spans="1:4">
      <c r="A1789" s="43">
        <v>1786</v>
      </c>
      <c r="B1789" s="51" t="s">
        <v>4382</v>
      </c>
      <c r="C1789" s="52" t="s">
        <v>4383</v>
      </c>
      <c r="D1789" s="53" t="s">
        <v>4379</v>
      </c>
    </row>
    <row r="1790" customHeight="1" spans="1:4">
      <c r="A1790" s="43">
        <v>1787</v>
      </c>
      <c r="B1790" s="51" t="s">
        <v>4384</v>
      </c>
      <c r="C1790" s="52" t="s">
        <v>4385</v>
      </c>
      <c r="D1790" s="53" t="s">
        <v>4379</v>
      </c>
    </row>
    <row r="1791" customHeight="1" spans="1:4">
      <c r="A1791" s="43">
        <v>1788</v>
      </c>
      <c r="B1791" s="51" t="s">
        <v>4386</v>
      </c>
      <c r="C1791" s="52" t="s">
        <v>4387</v>
      </c>
      <c r="D1791" s="53" t="s">
        <v>4379</v>
      </c>
    </row>
    <row r="1792" customHeight="1" spans="1:4">
      <c r="A1792" s="43">
        <v>1789</v>
      </c>
      <c r="B1792" s="51" t="s">
        <v>4388</v>
      </c>
      <c r="C1792" s="52" t="s">
        <v>4389</v>
      </c>
      <c r="D1792" s="53" t="s">
        <v>4372</v>
      </c>
    </row>
    <row r="1793" customHeight="1" spans="1:4">
      <c r="A1793" s="43">
        <v>1790</v>
      </c>
      <c r="B1793" s="51" t="s">
        <v>4390</v>
      </c>
      <c r="C1793" s="52" t="s">
        <v>4391</v>
      </c>
      <c r="D1793" s="53" t="s">
        <v>4361</v>
      </c>
    </row>
    <row r="1794" customHeight="1" spans="1:4">
      <c r="A1794" s="43">
        <v>1791</v>
      </c>
      <c r="B1794" s="51" t="s">
        <v>4392</v>
      </c>
      <c r="C1794" s="52" t="s">
        <v>4393</v>
      </c>
      <c r="D1794" s="53" t="s">
        <v>4361</v>
      </c>
    </row>
    <row r="1795" customHeight="1" spans="1:4">
      <c r="A1795" s="43">
        <v>1792</v>
      </c>
      <c r="B1795" s="51" t="s">
        <v>4394</v>
      </c>
      <c r="C1795" s="52" t="s">
        <v>4395</v>
      </c>
      <c r="D1795" s="53" t="s">
        <v>4361</v>
      </c>
    </row>
    <row r="1796" customHeight="1" spans="1:4">
      <c r="A1796" s="43">
        <v>1793</v>
      </c>
      <c r="B1796" s="51" t="s">
        <v>4396</v>
      </c>
      <c r="C1796" s="52" t="s">
        <v>4397</v>
      </c>
      <c r="D1796" s="53" t="s">
        <v>21</v>
      </c>
    </row>
    <row r="1797" customHeight="1" spans="1:4">
      <c r="A1797" s="43">
        <v>1794</v>
      </c>
      <c r="B1797" s="51" t="s">
        <v>4398</v>
      </c>
      <c r="C1797" s="52" t="s">
        <v>4399</v>
      </c>
      <c r="D1797" s="53" t="s">
        <v>21</v>
      </c>
    </row>
    <row r="1798" customHeight="1" spans="1:4">
      <c r="A1798" s="43">
        <v>1795</v>
      </c>
      <c r="B1798" s="51" t="s">
        <v>4400</v>
      </c>
      <c r="C1798" s="52" t="s">
        <v>4401</v>
      </c>
      <c r="D1798" s="53" t="s">
        <v>21</v>
      </c>
    </row>
    <row r="1799" customHeight="1" spans="1:4">
      <c r="A1799" s="43">
        <v>1796</v>
      </c>
      <c r="B1799" s="51" t="s">
        <v>4402</v>
      </c>
      <c r="C1799" s="52" t="s">
        <v>4403</v>
      </c>
      <c r="D1799" s="53" t="s">
        <v>21</v>
      </c>
    </row>
    <row r="1800" customHeight="1" spans="1:4">
      <c r="A1800" s="43">
        <v>1797</v>
      </c>
      <c r="B1800" s="51" t="s">
        <v>4404</v>
      </c>
      <c r="C1800" s="52" t="s">
        <v>4405</v>
      </c>
      <c r="D1800" s="53" t="s">
        <v>21</v>
      </c>
    </row>
    <row r="1801" customHeight="1" spans="1:4">
      <c r="A1801" s="43">
        <v>1798</v>
      </c>
      <c r="B1801" s="51" t="s">
        <v>4406</v>
      </c>
      <c r="C1801" s="52" t="s">
        <v>4407</v>
      </c>
      <c r="D1801" s="53" t="s">
        <v>21</v>
      </c>
    </row>
    <row r="1802" customHeight="1" spans="1:4">
      <c r="A1802" s="43">
        <v>1799</v>
      </c>
      <c r="B1802" s="51" t="s">
        <v>4408</v>
      </c>
      <c r="C1802" s="52" t="s">
        <v>4409</v>
      </c>
      <c r="D1802" s="53" t="s">
        <v>21</v>
      </c>
    </row>
    <row r="1803" customHeight="1" spans="1:4">
      <c r="A1803" s="43">
        <v>1800</v>
      </c>
      <c r="B1803" s="51" t="s">
        <v>4410</v>
      </c>
      <c r="C1803" s="52" t="s">
        <v>4411</v>
      </c>
      <c r="D1803" s="53" t="s">
        <v>2359</v>
      </c>
    </row>
    <row r="1804" customHeight="1" spans="1:4">
      <c r="A1804" s="43">
        <v>1801</v>
      </c>
      <c r="B1804" s="51" t="s">
        <v>4412</v>
      </c>
      <c r="C1804" s="52" t="s">
        <v>4413</v>
      </c>
      <c r="D1804" s="53" t="s">
        <v>15</v>
      </c>
    </row>
    <row r="1805" customHeight="1" spans="1:4">
      <c r="A1805" s="43">
        <v>1802</v>
      </c>
      <c r="B1805" s="51" t="s">
        <v>4414</v>
      </c>
      <c r="C1805" s="52" t="s">
        <v>4415</v>
      </c>
      <c r="D1805" s="53" t="s">
        <v>4277</v>
      </c>
    </row>
    <row r="1806" customHeight="1" spans="1:4">
      <c r="A1806" s="43">
        <v>1803</v>
      </c>
      <c r="B1806" s="51" t="s">
        <v>4416</v>
      </c>
      <c r="C1806" s="52" t="s">
        <v>4417</v>
      </c>
      <c r="D1806" s="53" t="s">
        <v>4277</v>
      </c>
    </row>
    <row r="1807" customHeight="1" spans="1:4">
      <c r="A1807" s="43">
        <v>1804</v>
      </c>
      <c r="B1807" s="51" t="s">
        <v>4418</v>
      </c>
      <c r="C1807" s="52" t="s">
        <v>4419</v>
      </c>
      <c r="D1807" s="53" t="s">
        <v>21</v>
      </c>
    </row>
    <row r="1808" customHeight="1" spans="1:4">
      <c r="A1808" s="43">
        <v>1805</v>
      </c>
      <c r="B1808" s="51" t="s">
        <v>4420</v>
      </c>
      <c r="C1808" s="52" t="s">
        <v>4421</v>
      </c>
      <c r="D1808" s="53" t="s">
        <v>15</v>
      </c>
    </row>
    <row r="1809" ht="30" customHeight="1" spans="1:4">
      <c r="A1809" s="43">
        <v>1806</v>
      </c>
      <c r="B1809" s="51" t="s">
        <v>4422</v>
      </c>
      <c r="C1809" s="61" t="s">
        <v>4423</v>
      </c>
      <c r="D1809" s="69" t="s">
        <v>4424</v>
      </c>
    </row>
    <row r="1810" ht="30" customHeight="1" spans="1:4">
      <c r="A1810" s="43">
        <v>1807</v>
      </c>
      <c r="B1810" s="51" t="s">
        <v>4425</v>
      </c>
      <c r="C1810" s="61" t="s">
        <v>4426</v>
      </c>
      <c r="D1810" s="69" t="s">
        <v>4424</v>
      </c>
    </row>
    <row r="1811" ht="30" customHeight="1" spans="1:4">
      <c r="A1811" s="43">
        <v>1808</v>
      </c>
      <c r="B1811" s="51" t="s">
        <v>4427</v>
      </c>
      <c r="C1811" s="61" t="s">
        <v>4428</v>
      </c>
      <c r="D1811" s="69" t="s">
        <v>4424</v>
      </c>
    </row>
    <row r="1812" ht="30" customHeight="1" spans="1:4">
      <c r="A1812" s="43">
        <v>1809</v>
      </c>
      <c r="B1812" s="51" t="s">
        <v>4429</v>
      </c>
      <c r="C1812" s="61" t="s">
        <v>4430</v>
      </c>
      <c r="D1812" s="69" t="s">
        <v>4424</v>
      </c>
    </row>
    <row r="1813" ht="30" customHeight="1" spans="1:4">
      <c r="A1813" s="43">
        <v>1810</v>
      </c>
      <c r="B1813" s="51" t="s">
        <v>4431</v>
      </c>
      <c r="C1813" s="61" t="s">
        <v>4432</v>
      </c>
      <c r="D1813" s="69" t="s">
        <v>4424</v>
      </c>
    </row>
    <row r="1814" ht="30" customHeight="1" spans="1:4">
      <c r="A1814" s="43">
        <v>1811</v>
      </c>
      <c r="B1814" s="51" t="s">
        <v>4433</v>
      </c>
      <c r="C1814" s="61" t="s">
        <v>4434</v>
      </c>
      <c r="D1814" s="69" t="s">
        <v>4424</v>
      </c>
    </row>
    <row r="1815" ht="30" customHeight="1" spans="1:4">
      <c r="A1815" s="43">
        <v>1812</v>
      </c>
      <c r="B1815" s="51" t="s">
        <v>4435</v>
      </c>
      <c r="C1815" s="61" t="s">
        <v>4436</v>
      </c>
      <c r="D1815" s="69" t="s">
        <v>4424</v>
      </c>
    </row>
    <row r="1816" customHeight="1" spans="1:4">
      <c r="A1816" s="43">
        <v>1813</v>
      </c>
      <c r="B1816" s="51" t="s">
        <v>4437</v>
      </c>
      <c r="C1816" s="52" t="s">
        <v>4438</v>
      </c>
      <c r="D1816" s="53" t="s">
        <v>15</v>
      </c>
    </row>
    <row r="1817" customHeight="1" spans="1:4">
      <c r="A1817" s="43">
        <v>1814</v>
      </c>
      <c r="B1817" s="51" t="s">
        <v>4439</v>
      </c>
      <c r="C1817" s="52" t="s">
        <v>4440</v>
      </c>
      <c r="D1817" s="53" t="s">
        <v>21</v>
      </c>
    </row>
    <row r="1818" customHeight="1" spans="1:4">
      <c r="A1818" s="43">
        <v>1815</v>
      </c>
      <c r="B1818" s="50" t="s">
        <v>4441</v>
      </c>
      <c r="C1818" s="49" t="s">
        <v>4442</v>
      </c>
      <c r="D1818" s="50" t="s">
        <v>15</v>
      </c>
    </row>
    <row r="1819" customHeight="1" spans="1:4">
      <c r="A1819" s="43">
        <v>1816</v>
      </c>
      <c r="B1819" s="50" t="s">
        <v>4443</v>
      </c>
      <c r="C1819" s="49" t="s">
        <v>4444</v>
      </c>
      <c r="D1819" s="50" t="s">
        <v>15</v>
      </c>
    </row>
    <row r="1820" customHeight="1" spans="1:4">
      <c r="A1820" s="43">
        <v>1817</v>
      </c>
      <c r="B1820" s="51" t="s">
        <v>4445</v>
      </c>
      <c r="C1820" s="61" t="s">
        <v>4446</v>
      </c>
      <c r="D1820" s="69" t="s">
        <v>21</v>
      </c>
    </row>
    <row r="1821" customHeight="1" spans="1:4">
      <c r="A1821" s="43">
        <v>1818</v>
      </c>
      <c r="B1821" s="51" t="s">
        <v>4447</v>
      </c>
      <c r="C1821" s="61" t="s">
        <v>4448</v>
      </c>
      <c r="D1821" s="69" t="s">
        <v>21</v>
      </c>
    </row>
    <row r="1822" customHeight="1" spans="1:4">
      <c r="A1822" s="43">
        <v>1819</v>
      </c>
      <c r="B1822" s="51" t="s">
        <v>4449</v>
      </c>
      <c r="C1822" s="61" t="s">
        <v>4450</v>
      </c>
      <c r="D1822" s="69" t="s">
        <v>21</v>
      </c>
    </row>
    <row r="1823" customHeight="1" spans="1:4">
      <c r="A1823" s="43">
        <v>1820</v>
      </c>
      <c r="B1823" s="89" t="s">
        <v>4451</v>
      </c>
      <c r="C1823" s="67" t="s">
        <v>4452</v>
      </c>
      <c r="D1823" s="90" t="s">
        <v>21</v>
      </c>
    </row>
    <row r="1824" customHeight="1" spans="1:4">
      <c r="A1824" s="43">
        <v>1821</v>
      </c>
      <c r="B1824" s="89" t="s">
        <v>4453</v>
      </c>
      <c r="C1824" s="67" t="s">
        <v>4454</v>
      </c>
      <c r="D1824" s="53" t="s">
        <v>21</v>
      </c>
    </row>
    <row r="1825" customHeight="1" spans="1:4">
      <c r="A1825" s="43">
        <v>1822</v>
      </c>
      <c r="B1825" s="50" t="s">
        <v>4455</v>
      </c>
      <c r="C1825" s="49" t="s">
        <v>4456</v>
      </c>
      <c r="D1825" s="50" t="s">
        <v>21</v>
      </c>
    </row>
    <row r="1826" customHeight="1" spans="1:4">
      <c r="A1826" s="43">
        <v>1823</v>
      </c>
      <c r="B1826" s="89" t="s">
        <v>4457</v>
      </c>
      <c r="C1826" s="67" t="s">
        <v>4458</v>
      </c>
      <c r="D1826" s="90" t="s">
        <v>21</v>
      </c>
    </row>
    <row r="1827" customHeight="1" spans="1:4">
      <c r="A1827" s="43">
        <v>1824</v>
      </c>
      <c r="B1827" s="51" t="s">
        <v>4459</v>
      </c>
      <c r="C1827" s="61" t="s">
        <v>4460</v>
      </c>
      <c r="D1827" s="69" t="s">
        <v>21</v>
      </c>
    </row>
    <row r="1828" customHeight="1" spans="1:4">
      <c r="A1828" s="43">
        <v>1825</v>
      </c>
      <c r="B1828" s="51" t="s">
        <v>4461</v>
      </c>
      <c r="C1828" s="61" t="s">
        <v>4462</v>
      </c>
      <c r="D1828" s="69" t="s">
        <v>21</v>
      </c>
    </row>
    <row r="1829" customHeight="1" spans="1:4">
      <c r="A1829" s="43">
        <v>1826</v>
      </c>
      <c r="B1829" s="143" t="s">
        <v>4463</v>
      </c>
      <c r="C1829" s="49" t="s">
        <v>4464</v>
      </c>
      <c r="D1829" s="50" t="s">
        <v>21</v>
      </c>
    </row>
    <row r="1830" customHeight="1" spans="1:4">
      <c r="A1830" s="43">
        <v>1827</v>
      </c>
      <c r="B1830" s="51" t="s">
        <v>4465</v>
      </c>
      <c r="C1830" s="61" t="s">
        <v>4466</v>
      </c>
      <c r="D1830" s="69" t="s">
        <v>21</v>
      </c>
    </row>
    <row r="1831" customHeight="1" spans="1:4">
      <c r="A1831" s="43">
        <v>1828</v>
      </c>
      <c r="B1831" s="50" t="s">
        <v>4467</v>
      </c>
      <c r="C1831" s="49" t="s">
        <v>4468</v>
      </c>
      <c r="D1831" s="50" t="s">
        <v>21</v>
      </c>
    </row>
    <row r="1832" customHeight="1" spans="1:4">
      <c r="A1832" s="43">
        <v>1829</v>
      </c>
      <c r="B1832" s="51" t="s">
        <v>4469</v>
      </c>
      <c r="C1832" s="61" t="s">
        <v>4470</v>
      </c>
      <c r="D1832" s="69" t="s">
        <v>21</v>
      </c>
    </row>
    <row r="1833" customHeight="1" spans="1:4">
      <c r="A1833" s="43">
        <v>1830</v>
      </c>
      <c r="B1833" s="51" t="s">
        <v>4471</v>
      </c>
      <c r="C1833" s="61" t="s">
        <v>4472</v>
      </c>
      <c r="D1833" s="69" t="s">
        <v>21</v>
      </c>
    </row>
    <row r="1834" customHeight="1" spans="1:4">
      <c r="A1834" s="43">
        <v>1831</v>
      </c>
      <c r="B1834" s="51" t="s">
        <v>4473</v>
      </c>
      <c r="C1834" s="61" t="s">
        <v>4474</v>
      </c>
      <c r="D1834" s="69" t="s">
        <v>21</v>
      </c>
    </row>
    <row r="1835" customHeight="1" spans="1:4">
      <c r="A1835" s="43">
        <v>1832</v>
      </c>
      <c r="B1835" s="51" t="s">
        <v>4475</v>
      </c>
      <c r="C1835" s="61" t="s">
        <v>4476</v>
      </c>
      <c r="D1835" s="69" t="s">
        <v>21</v>
      </c>
    </row>
    <row r="1836" customHeight="1" spans="1:4">
      <c r="A1836" s="43">
        <v>1833</v>
      </c>
      <c r="B1836" s="51" t="s">
        <v>4477</v>
      </c>
      <c r="C1836" s="61" t="s">
        <v>4478</v>
      </c>
      <c r="D1836" s="69" t="s">
        <v>21</v>
      </c>
    </row>
    <row r="1837" customHeight="1" spans="1:4">
      <c r="A1837" s="43">
        <v>1834</v>
      </c>
      <c r="B1837" s="50" t="s">
        <v>4479</v>
      </c>
      <c r="C1837" s="49" t="s">
        <v>4480</v>
      </c>
      <c r="D1837" s="43" t="s">
        <v>21</v>
      </c>
    </row>
    <row r="1838" customHeight="1" spans="1:4">
      <c r="A1838" s="43">
        <v>1835</v>
      </c>
      <c r="B1838" s="50" t="s">
        <v>4481</v>
      </c>
      <c r="C1838" s="49" t="s">
        <v>4482</v>
      </c>
      <c r="D1838" s="43" t="s">
        <v>21</v>
      </c>
    </row>
    <row r="1839" customHeight="1" spans="1:4">
      <c r="A1839" s="43">
        <v>1836</v>
      </c>
      <c r="B1839" s="50" t="s">
        <v>4483</v>
      </c>
      <c r="C1839" s="49" t="s">
        <v>4484</v>
      </c>
      <c r="D1839" s="43" t="s">
        <v>21</v>
      </c>
    </row>
    <row r="1840" customHeight="1" spans="1:4">
      <c r="A1840" s="43">
        <v>1837</v>
      </c>
      <c r="B1840" s="91" t="s">
        <v>4485</v>
      </c>
      <c r="C1840" s="92" t="s">
        <v>4486</v>
      </c>
      <c r="D1840" s="91" t="s">
        <v>21</v>
      </c>
    </row>
    <row r="1841" customHeight="1" spans="1:4">
      <c r="A1841" s="43">
        <v>1838</v>
      </c>
      <c r="B1841" s="91" t="s">
        <v>4487</v>
      </c>
      <c r="C1841" s="92" t="s">
        <v>4488</v>
      </c>
      <c r="D1841" s="91" t="s">
        <v>21</v>
      </c>
    </row>
    <row r="1842" customHeight="1" spans="1:4">
      <c r="A1842" s="43">
        <v>1839</v>
      </c>
      <c r="B1842" s="50" t="s">
        <v>4489</v>
      </c>
      <c r="C1842" s="49" t="s">
        <v>4486</v>
      </c>
      <c r="D1842" s="50" t="s">
        <v>21</v>
      </c>
    </row>
    <row r="1843" customHeight="1" spans="1:4">
      <c r="A1843" s="43">
        <v>1840</v>
      </c>
      <c r="B1843" s="50" t="s">
        <v>4490</v>
      </c>
      <c r="C1843" s="49" t="s">
        <v>4491</v>
      </c>
      <c r="D1843" s="50" t="s">
        <v>21</v>
      </c>
    </row>
    <row r="1844" customHeight="1" spans="1:4">
      <c r="A1844" s="43">
        <v>1841</v>
      </c>
      <c r="B1844" s="51" t="s">
        <v>4492</v>
      </c>
      <c r="C1844" s="52" t="s">
        <v>4493</v>
      </c>
      <c r="D1844" s="53" t="s">
        <v>15</v>
      </c>
    </row>
    <row r="1845" customHeight="1" spans="1:4">
      <c r="A1845" s="43">
        <v>1842</v>
      </c>
      <c r="B1845" s="51" t="s">
        <v>4494</v>
      </c>
      <c r="C1845" s="52" t="s">
        <v>4495</v>
      </c>
      <c r="D1845" s="53" t="s">
        <v>15</v>
      </c>
    </row>
    <row r="1846" customHeight="1" spans="1:4">
      <c r="A1846" s="43">
        <v>1843</v>
      </c>
      <c r="B1846" s="50" t="s">
        <v>4496</v>
      </c>
      <c r="C1846" s="49" t="s">
        <v>4497</v>
      </c>
      <c r="D1846" s="50" t="s">
        <v>15</v>
      </c>
    </row>
    <row r="1847" customHeight="1" spans="1:4">
      <c r="A1847" s="43">
        <v>1844</v>
      </c>
      <c r="B1847" s="50" t="s">
        <v>4498</v>
      </c>
      <c r="C1847" s="49" t="s">
        <v>4499</v>
      </c>
      <c r="D1847" s="50" t="s">
        <v>15</v>
      </c>
    </row>
    <row r="1848" customHeight="1" spans="1:4">
      <c r="A1848" s="43">
        <v>1845</v>
      </c>
      <c r="B1848" s="51" t="s">
        <v>4500</v>
      </c>
      <c r="C1848" s="61" t="s">
        <v>4501</v>
      </c>
      <c r="D1848" s="69" t="s">
        <v>21</v>
      </c>
    </row>
    <row r="1849" customHeight="1" spans="1:4">
      <c r="A1849" s="43">
        <v>1846</v>
      </c>
      <c r="B1849" s="51" t="s">
        <v>4502</v>
      </c>
      <c r="C1849" s="61" t="s">
        <v>4503</v>
      </c>
      <c r="D1849" s="69" t="s">
        <v>21</v>
      </c>
    </row>
    <row r="1850" customHeight="1" spans="1:4">
      <c r="A1850" s="43">
        <v>1847</v>
      </c>
      <c r="B1850" s="51" t="s">
        <v>4504</v>
      </c>
      <c r="C1850" s="61" t="s">
        <v>4505</v>
      </c>
      <c r="D1850" s="69" t="s">
        <v>21</v>
      </c>
    </row>
    <row r="1851" customHeight="1" spans="1:4">
      <c r="A1851" s="43">
        <v>1848</v>
      </c>
      <c r="B1851" s="51" t="s">
        <v>4506</v>
      </c>
      <c r="C1851" s="61" t="s">
        <v>4507</v>
      </c>
      <c r="D1851" s="69" t="s">
        <v>21</v>
      </c>
    </row>
    <row r="1852" customHeight="1" spans="1:4">
      <c r="A1852" s="43">
        <v>1849</v>
      </c>
      <c r="B1852" s="51" t="s">
        <v>4508</v>
      </c>
      <c r="C1852" s="61" t="s">
        <v>4509</v>
      </c>
      <c r="D1852" s="69" t="s">
        <v>21</v>
      </c>
    </row>
    <row r="1853" customHeight="1" spans="1:4">
      <c r="A1853" s="43">
        <v>1850</v>
      </c>
      <c r="B1853" s="51" t="s">
        <v>4510</v>
      </c>
      <c r="C1853" s="61" t="s">
        <v>4511</v>
      </c>
      <c r="D1853" s="69" t="s">
        <v>21</v>
      </c>
    </row>
    <row r="1854" customHeight="1" spans="1:4">
      <c r="A1854" s="43">
        <v>1851</v>
      </c>
      <c r="B1854" s="51" t="s">
        <v>4512</v>
      </c>
      <c r="C1854" s="61" t="s">
        <v>4513</v>
      </c>
      <c r="D1854" s="69" t="s">
        <v>21</v>
      </c>
    </row>
    <row r="1855" customHeight="1" spans="1:4">
      <c r="A1855" s="43">
        <v>1852</v>
      </c>
      <c r="B1855" s="50" t="s">
        <v>4514</v>
      </c>
      <c r="C1855" s="49" t="s">
        <v>4515</v>
      </c>
      <c r="D1855" s="50" t="s">
        <v>21</v>
      </c>
    </row>
    <row r="1856" customHeight="1" spans="1:4">
      <c r="A1856" s="43">
        <v>1853</v>
      </c>
      <c r="B1856" s="50" t="s">
        <v>4516</v>
      </c>
      <c r="C1856" s="49" t="s">
        <v>4517</v>
      </c>
      <c r="D1856" s="50" t="s">
        <v>21</v>
      </c>
    </row>
    <row r="1857" customHeight="1" spans="1:4">
      <c r="A1857" s="43">
        <v>1854</v>
      </c>
      <c r="B1857" s="51" t="s">
        <v>4518</v>
      </c>
      <c r="C1857" s="61" t="s">
        <v>4519</v>
      </c>
      <c r="D1857" s="69" t="s">
        <v>21</v>
      </c>
    </row>
    <row r="1858" customHeight="1" spans="1:4">
      <c r="A1858" s="43">
        <v>1855</v>
      </c>
      <c r="B1858" s="51" t="s">
        <v>4520</v>
      </c>
      <c r="C1858" s="61" t="s">
        <v>4521</v>
      </c>
      <c r="D1858" s="69" t="s">
        <v>21</v>
      </c>
    </row>
    <row r="1859" customHeight="1" spans="1:4">
      <c r="A1859" s="43">
        <v>1856</v>
      </c>
      <c r="B1859" s="51" t="s">
        <v>4522</v>
      </c>
      <c r="C1859" s="61" t="s">
        <v>4523</v>
      </c>
      <c r="D1859" s="69" t="s">
        <v>21</v>
      </c>
    </row>
    <row r="1860" customHeight="1" spans="1:4">
      <c r="A1860" s="43">
        <v>1857</v>
      </c>
      <c r="B1860" s="51" t="s">
        <v>4524</v>
      </c>
      <c r="C1860" s="61" t="s">
        <v>4525</v>
      </c>
      <c r="D1860" s="69" t="s">
        <v>21</v>
      </c>
    </row>
    <row r="1861" customHeight="1" spans="1:4">
      <c r="A1861" s="43">
        <v>1858</v>
      </c>
      <c r="B1861" s="51" t="s">
        <v>4526</v>
      </c>
      <c r="C1861" s="61" t="s">
        <v>4527</v>
      </c>
      <c r="D1861" s="69" t="s">
        <v>21</v>
      </c>
    </row>
    <row r="1862" customHeight="1" spans="1:4">
      <c r="A1862" s="43">
        <v>1859</v>
      </c>
      <c r="B1862" s="51" t="s">
        <v>4528</v>
      </c>
      <c r="C1862" s="61" t="s">
        <v>4529</v>
      </c>
      <c r="D1862" s="69" t="s">
        <v>21</v>
      </c>
    </row>
    <row r="1863" customHeight="1" spans="1:4">
      <c r="A1863" s="43">
        <v>1860</v>
      </c>
      <c r="B1863" s="51" t="s">
        <v>4530</v>
      </c>
      <c r="C1863" s="61" t="s">
        <v>4531</v>
      </c>
      <c r="D1863" s="69" t="s">
        <v>21</v>
      </c>
    </row>
    <row r="1864" customHeight="1" spans="1:4">
      <c r="A1864" s="43">
        <v>1861</v>
      </c>
      <c r="B1864" s="51" t="s">
        <v>4532</v>
      </c>
      <c r="C1864" s="61" t="s">
        <v>4533</v>
      </c>
      <c r="D1864" s="69" t="s">
        <v>21</v>
      </c>
    </row>
    <row r="1865" customHeight="1" spans="1:4">
      <c r="A1865" s="43">
        <v>1862</v>
      </c>
      <c r="B1865" s="51" t="s">
        <v>4534</v>
      </c>
      <c r="C1865" s="61" t="s">
        <v>4535</v>
      </c>
      <c r="D1865" s="69" t="s">
        <v>21</v>
      </c>
    </row>
    <row r="1866" customHeight="1" spans="1:4">
      <c r="A1866" s="43">
        <v>1863</v>
      </c>
      <c r="B1866" s="51" t="s">
        <v>4536</v>
      </c>
      <c r="C1866" s="61" t="s">
        <v>4537</v>
      </c>
      <c r="D1866" s="69" t="s">
        <v>21</v>
      </c>
    </row>
    <row r="1867" customHeight="1" spans="1:4">
      <c r="A1867" s="43">
        <v>1864</v>
      </c>
      <c r="B1867" s="51" t="s">
        <v>4538</v>
      </c>
      <c r="C1867" s="61" t="s">
        <v>4539</v>
      </c>
      <c r="D1867" s="69" t="s">
        <v>21</v>
      </c>
    </row>
    <row r="1868" customHeight="1" spans="1:4">
      <c r="A1868" s="43">
        <v>1865</v>
      </c>
      <c r="B1868" s="51" t="s">
        <v>4540</v>
      </c>
      <c r="C1868" s="61" t="s">
        <v>4541</v>
      </c>
      <c r="D1868" s="69" t="s">
        <v>21</v>
      </c>
    </row>
    <row r="1869" customHeight="1" spans="1:4">
      <c r="A1869" s="43">
        <v>1866</v>
      </c>
      <c r="B1869" s="51" t="s">
        <v>4542</v>
      </c>
      <c r="C1869" s="61" t="s">
        <v>4543</v>
      </c>
      <c r="D1869" s="69" t="s">
        <v>21</v>
      </c>
    </row>
    <row r="1870" customHeight="1" spans="1:4">
      <c r="A1870" s="43">
        <v>1867</v>
      </c>
      <c r="B1870" s="51" t="s">
        <v>4544</v>
      </c>
      <c r="C1870" s="61" t="s">
        <v>4545</v>
      </c>
      <c r="D1870" s="69" t="s">
        <v>21</v>
      </c>
    </row>
    <row r="1871" customHeight="1" spans="1:4">
      <c r="A1871" s="43">
        <v>1868</v>
      </c>
      <c r="B1871" s="51" t="s">
        <v>4546</v>
      </c>
      <c r="C1871" s="61" t="s">
        <v>4547</v>
      </c>
      <c r="D1871" s="69" t="s">
        <v>21</v>
      </c>
    </row>
    <row r="1872" customHeight="1" spans="1:4">
      <c r="A1872" s="43">
        <v>1869</v>
      </c>
      <c r="B1872" s="51" t="s">
        <v>4548</v>
      </c>
      <c r="C1872" s="61" t="s">
        <v>4549</v>
      </c>
      <c r="D1872" s="69" t="s">
        <v>21</v>
      </c>
    </row>
    <row r="1873" customHeight="1" spans="1:4">
      <c r="A1873" s="43">
        <v>1870</v>
      </c>
      <c r="B1873" s="51" t="s">
        <v>4550</v>
      </c>
      <c r="C1873" s="61" t="s">
        <v>4551</v>
      </c>
      <c r="D1873" s="69" t="s">
        <v>21</v>
      </c>
    </row>
    <row r="1874" customHeight="1" spans="1:4">
      <c r="A1874" s="43">
        <v>1871</v>
      </c>
      <c r="B1874" s="51" t="s">
        <v>4552</v>
      </c>
      <c r="C1874" s="61" t="s">
        <v>4553</v>
      </c>
      <c r="D1874" s="69" t="s">
        <v>21</v>
      </c>
    </row>
    <row r="1875" customHeight="1" spans="1:4">
      <c r="A1875" s="43">
        <v>1872</v>
      </c>
      <c r="B1875" s="51" t="s">
        <v>4554</v>
      </c>
      <c r="C1875" s="61" t="s">
        <v>4555</v>
      </c>
      <c r="D1875" s="69" t="s">
        <v>21</v>
      </c>
    </row>
    <row r="1876" customHeight="1" spans="1:4">
      <c r="A1876" s="43">
        <v>1873</v>
      </c>
      <c r="B1876" s="51" t="s">
        <v>4556</v>
      </c>
      <c r="C1876" s="61" t="s">
        <v>4557</v>
      </c>
      <c r="D1876" s="69" t="s">
        <v>21</v>
      </c>
    </row>
    <row r="1877" customHeight="1" spans="1:4">
      <c r="A1877" s="43">
        <v>1874</v>
      </c>
      <c r="B1877" s="51" t="s">
        <v>4558</v>
      </c>
      <c r="C1877" s="61" t="s">
        <v>4559</v>
      </c>
      <c r="D1877" s="69" t="s">
        <v>21</v>
      </c>
    </row>
    <row r="1878" customHeight="1" spans="1:4">
      <c r="A1878" s="43">
        <v>1875</v>
      </c>
      <c r="B1878" s="51" t="s">
        <v>4560</v>
      </c>
      <c r="C1878" s="61" t="s">
        <v>4561</v>
      </c>
      <c r="D1878" s="69" t="s">
        <v>21</v>
      </c>
    </row>
    <row r="1879" customHeight="1" spans="1:4">
      <c r="A1879" s="43">
        <v>1876</v>
      </c>
      <c r="B1879" s="51" t="s">
        <v>4562</v>
      </c>
      <c r="C1879" s="61" t="s">
        <v>4563</v>
      </c>
      <c r="D1879" s="69" t="s">
        <v>21</v>
      </c>
    </row>
    <row r="1880" customHeight="1" spans="1:4">
      <c r="A1880" s="43">
        <v>1877</v>
      </c>
      <c r="B1880" s="51" t="s">
        <v>4564</v>
      </c>
      <c r="C1880" s="61" t="s">
        <v>4565</v>
      </c>
      <c r="D1880" s="69" t="s">
        <v>21</v>
      </c>
    </row>
    <row r="1881" customHeight="1" spans="1:4">
      <c r="A1881" s="43">
        <v>1878</v>
      </c>
      <c r="B1881" s="51" t="s">
        <v>4566</v>
      </c>
      <c r="C1881" s="61" t="s">
        <v>4567</v>
      </c>
      <c r="D1881" s="69" t="s">
        <v>21</v>
      </c>
    </row>
    <row r="1882" customHeight="1" spans="1:4">
      <c r="A1882" s="43">
        <v>1879</v>
      </c>
      <c r="B1882" s="51" t="s">
        <v>4568</v>
      </c>
      <c r="C1882" s="61" t="s">
        <v>4569</v>
      </c>
      <c r="D1882" s="69" t="s">
        <v>21</v>
      </c>
    </row>
    <row r="1883" customHeight="1" spans="1:4">
      <c r="A1883" s="43">
        <v>1880</v>
      </c>
      <c r="B1883" s="51" t="s">
        <v>4570</v>
      </c>
      <c r="C1883" s="61" t="s">
        <v>4571</v>
      </c>
      <c r="D1883" s="69" t="s">
        <v>21</v>
      </c>
    </row>
    <row r="1884" customHeight="1" spans="1:4">
      <c r="A1884" s="43">
        <v>1881</v>
      </c>
      <c r="B1884" s="51" t="s">
        <v>4572</v>
      </c>
      <c r="C1884" s="61" t="s">
        <v>4573</v>
      </c>
      <c r="D1884" s="69" t="s">
        <v>21</v>
      </c>
    </row>
    <row r="1885" customHeight="1" spans="1:4">
      <c r="A1885" s="43">
        <v>1882</v>
      </c>
      <c r="B1885" s="51" t="s">
        <v>4574</v>
      </c>
      <c r="C1885" s="61" t="s">
        <v>4575</v>
      </c>
      <c r="D1885" s="69" t="s">
        <v>21</v>
      </c>
    </row>
    <row r="1886" customHeight="1" spans="1:4">
      <c r="A1886" s="43">
        <v>1883</v>
      </c>
      <c r="B1886" s="51" t="s">
        <v>4576</v>
      </c>
      <c r="C1886" s="61" t="s">
        <v>4577</v>
      </c>
      <c r="D1886" s="69" t="s">
        <v>21</v>
      </c>
    </row>
    <row r="1887" customHeight="1" spans="1:4">
      <c r="A1887" s="43">
        <v>1884</v>
      </c>
      <c r="B1887" s="51" t="s">
        <v>4578</v>
      </c>
      <c r="C1887" s="61" t="s">
        <v>4579</v>
      </c>
      <c r="D1887" s="69" t="s">
        <v>21</v>
      </c>
    </row>
    <row r="1888" customHeight="1" spans="1:4">
      <c r="A1888" s="43">
        <v>1885</v>
      </c>
      <c r="B1888" s="51" t="s">
        <v>4580</v>
      </c>
      <c r="C1888" s="61" t="s">
        <v>4581</v>
      </c>
      <c r="D1888" s="69" t="s">
        <v>21</v>
      </c>
    </row>
    <row r="1889" customHeight="1" spans="1:4">
      <c r="A1889" s="43">
        <v>1886</v>
      </c>
      <c r="B1889" s="51" t="s">
        <v>4582</v>
      </c>
      <c r="C1889" s="61" t="s">
        <v>4583</v>
      </c>
      <c r="D1889" s="69" t="s">
        <v>4584</v>
      </c>
    </row>
    <row r="1890" customHeight="1" spans="1:4">
      <c r="A1890" s="43">
        <v>1887</v>
      </c>
      <c r="B1890" s="51" t="s">
        <v>4585</v>
      </c>
      <c r="C1890" s="61" t="s">
        <v>4586</v>
      </c>
      <c r="D1890" s="69" t="s">
        <v>4584</v>
      </c>
    </row>
    <row r="1891" customHeight="1" spans="1:4">
      <c r="A1891" s="43">
        <v>1888</v>
      </c>
      <c r="B1891" s="51" t="s">
        <v>4587</v>
      </c>
      <c r="C1891" s="61" t="s">
        <v>4588</v>
      </c>
      <c r="D1891" s="69" t="s">
        <v>4584</v>
      </c>
    </row>
    <row r="1892" customHeight="1" spans="1:4">
      <c r="A1892" s="43">
        <v>1889</v>
      </c>
      <c r="B1892" s="51" t="s">
        <v>4589</v>
      </c>
      <c r="C1892" s="61" t="s">
        <v>4590</v>
      </c>
      <c r="D1892" s="69" t="s">
        <v>4584</v>
      </c>
    </row>
    <row r="1893" customHeight="1" spans="1:4">
      <c r="A1893" s="43">
        <v>1890</v>
      </c>
      <c r="B1893" s="51" t="s">
        <v>4591</v>
      </c>
      <c r="C1893" s="61" t="s">
        <v>4592</v>
      </c>
      <c r="D1893" s="69" t="s">
        <v>4584</v>
      </c>
    </row>
    <row r="1894" customHeight="1" spans="1:4">
      <c r="A1894" s="43">
        <v>1891</v>
      </c>
      <c r="B1894" s="51" t="s">
        <v>4593</v>
      </c>
      <c r="C1894" s="61" t="s">
        <v>4594</v>
      </c>
      <c r="D1894" s="69" t="s">
        <v>4584</v>
      </c>
    </row>
    <row r="1895" customHeight="1" spans="1:4">
      <c r="A1895" s="43">
        <v>1892</v>
      </c>
      <c r="B1895" s="50" t="s">
        <v>4595</v>
      </c>
      <c r="C1895" s="49" t="s">
        <v>4596</v>
      </c>
      <c r="D1895" s="50" t="s">
        <v>21</v>
      </c>
    </row>
    <row r="1896" customHeight="1" spans="1:4">
      <c r="A1896" s="43">
        <v>1893</v>
      </c>
      <c r="B1896" s="50" t="s">
        <v>4597</v>
      </c>
      <c r="C1896" s="49" t="s">
        <v>4598</v>
      </c>
      <c r="D1896" s="50" t="s">
        <v>21</v>
      </c>
    </row>
    <row r="1897" customHeight="1" spans="1:4">
      <c r="A1897" s="43">
        <v>1894</v>
      </c>
      <c r="B1897" s="50" t="s">
        <v>4599</v>
      </c>
      <c r="C1897" s="49" t="s">
        <v>4600</v>
      </c>
      <c r="D1897" s="50" t="s">
        <v>21</v>
      </c>
    </row>
    <row r="1898" customHeight="1" spans="1:4">
      <c r="A1898" s="43">
        <v>1895</v>
      </c>
      <c r="B1898" s="50" t="s">
        <v>4601</v>
      </c>
      <c r="C1898" s="49" t="s">
        <v>4602</v>
      </c>
      <c r="D1898" s="50" t="s">
        <v>21</v>
      </c>
    </row>
    <row r="1899" customHeight="1" spans="1:4">
      <c r="A1899" s="43">
        <v>1896</v>
      </c>
      <c r="B1899" s="50" t="s">
        <v>4603</v>
      </c>
      <c r="C1899" s="49" t="s">
        <v>4604</v>
      </c>
      <c r="D1899" s="50" t="s">
        <v>21</v>
      </c>
    </row>
    <row r="1900" customHeight="1" spans="1:4">
      <c r="A1900" s="43">
        <v>1897</v>
      </c>
      <c r="B1900" s="50" t="s">
        <v>4605</v>
      </c>
      <c r="C1900" s="49" t="s">
        <v>4606</v>
      </c>
      <c r="D1900" s="50" t="s">
        <v>21</v>
      </c>
    </row>
    <row r="1901" customHeight="1" spans="1:4">
      <c r="A1901" s="43">
        <v>1898</v>
      </c>
      <c r="B1901" s="50" t="s">
        <v>4607</v>
      </c>
      <c r="C1901" s="49" t="s">
        <v>4608</v>
      </c>
      <c r="D1901" s="50" t="s">
        <v>21</v>
      </c>
    </row>
    <row r="1902" customHeight="1" spans="1:4">
      <c r="A1902" s="43">
        <v>1899</v>
      </c>
      <c r="B1902" s="50" t="s">
        <v>4609</v>
      </c>
      <c r="C1902" s="49" t="s">
        <v>4610</v>
      </c>
      <c r="D1902" s="50" t="s">
        <v>21</v>
      </c>
    </row>
    <row r="1903" customHeight="1" spans="1:4">
      <c r="A1903" s="43">
        <v>1900</v>
      </c>
      <c r="B1903" s="50" t="s">
        <v>4611</v>
      </c>
      <c r="C1903" s="49" t="s">
        <v>4612</v>
      </c>
      <c r="D1903" s="50" t="s">
        <v>21</v>
      </c>
    </row>
    <row r="1904" customHeight="1" spans="1:4">
      <c r="A1904" s="43">
        <v>1901</v>
      </c>
      <c r="B1904" s="50" t="s">
        <v>4613</v>
      </c>
      <c r="C1904" s="49" t="s">
        <v>4614</v>
      </c>
      <c r="D1904" s="50" t="s">
        <v>21</v>
      </c>
    </row>
    <row r="1905" customHeight="1" spans="1:4">
      <c r="A1905" s="43">
        <v>1902</v>
      </c>
      <c r="B1905" s="51" t="s">
        <v>4615</v>
      </c>
      <c r="C1905" s="61" t="s">
        <v>4616</v>
      </c>
      <c r="D1905" s="69" t="s">
        <v>21</v>
      </c>
    </row>
    <row r="1906" customHeight="1" spans="1:4">
      <c r="A1906" s="43">
        <v>1903</v>
      </c>
      <c r="B1906" s="51" t="s">
        <v>4617</v>
      </c>
      <c r="C1906" s="61" t="s">
        <v>4618</v>
      </c>
      <c r="D1906" s="69" t="s">
        <v>21</v>
      </c>
    </row>
    <row r="1907" customHeight="1" spans="1:4">
      <c r="A1907" s="43">
        <v>1904</v>
      </c>
      <c r="B1907" s="51" t="s">
        <v>4619</v>
      </c>
      <c r="C1907" s="61" t="s">
        <v>4620</v>
      </c>
      <c r="D1907" s="69" t="s">
        <v>21</v>
      </c>
    </row>
    <row r="1908" customHeight="1" spans="1:4">
      <c r="A1908" s="43">
        <v>1905</v>
      </c>
      <c r="B1908" s="51" t="s">
        <v>4621</v>
      </c>
      <c r="C1908" s="61" t="s">
        <v>4622</v>
      </c>
      <c r="D1908" s="69" t="s">
        <v>21</v>
      </c>
    </row>
    <row r="1909" customHeight="1" spans="1:4">
      <c r="A1909" s="43">
        <v>1906</v>
      </c>
      <c r="B1909" s="51" t="s">
        <v>4623</v>
      </c>
      <c r="C1909" s="61" t="s">
        <v>4624</v>
      </c>
      <c r="D1909" s="69" t="s">
        <v>21</v>
      </c>
    </row>
    <row r="1910" customHeight="1" spans="1:4">
      <c r="A1910" s="43">
        <v>1907</v>
      </c>
      <c r="B1910" s="51" t="s">
        <v>4625</v>
      </c>
      <c r="C1910" s="61" t="s">
        <v>4626</v>
      </c>
      <c r="D1910" s="69" t="s">
        <v>21</v>
      </c>
    </row>
    <row r="1911" customHeight="1" spans="1:4">
      <c r="A1911" s="43">
        <v>1908</v>
      </c>
      <c r="B1911" s="51" t="s">
        <v>4627</v>
      </c>
      <c r="C1911" s="61" t="s">
        <v>4628</v>
      </c>
      <c r="D1911" s="69" t="s">
        <v>21</v>
      </c>
    </row>
    <row r="1912" customHeight="1" spans="1:4">
      <c r="A1912" s="43">
        <v>1909</v>
      </c>
      <c r="B1912" s="51" t="s">
        <v>4629</v>
      </c>
      <c r="C1912" s="61" t="s">
        <v>4630</v>
      </c>
      <c r="D1912" s="69" t="s">
        <v>21</v>
      </c>
    </row>
    <row r="1913" customHeight="1" spans="1:4">
      <c r="A1913" s="43">
        <v>1910</v>
      </c>
      <c r="B1913" s="51" t="s">
        <v>4631</v>
      </c>
      <c r="C1913" s="61" t="s">
        <v>4632</v>
      </c>
      <c r="D1913" s="69" t="s">
        <v>21</v>
      </c>
    </row>
    <row r="1914" customHeight="1" spans="1:4">
      <c r="A1914" s="43">
        <v>1911</v>
      </c>
      <c r="B1914" s="51" t="s">
        <v>4633</v>
      </c>
      <c r="C1914" s="61" t="s">
        <v>4634</v>
      </c>
      <c r="D1914" s="69" t="s">
        <v>21</v>
      </c>
    </row>
    <row r="1915" customHeight="1" spans="1:4">
      <c r="A1915" s="43">
        <v>1912</v>
      </c>
      <c r="B1915" s="51" t="s">
        <v>4635</v>
      </c>
      <c r="C1915" s="61" t="s">
        <v>4636</v>
      </c>
      <c r="D1915" s="69" t="s">
        <v>21</v>
      </c>
    </row>
    <row r="1916" customHeight="1" spans="1:4">
      <c r="A1916" s="43">
        <v>1913</v>
      </c>
      <c r="B1916" s="51" t="s">
        <v>4637</v>
      </c>
      <c r="C1916" s="61" t="s">
        <v>4638</v>
      </c>
      <c r="D1916" s="69" t="s">
        <v>21</v>
      </c>
    </row>
    <row r="1917" customHeight="1" spans="1:4">
      <c r="A1917" s="43">
        <v>1914</v>
      </c>
      <c r="B1917" s="51" t="s">
        <v>4639</v>
      </c>
      <c r="C1917" s="61" t="s">
        <v>4640</v>
      </c>
      <c r="D1917" s="69" t="s">
        <v>21</v>
      </c>
    </row>
    <row r="1918" customHeight="1" spans="1:4">
      <c r="A1918" s="43">
        <v>1915</v>
      </c>
      <c r="B1918" s="51" t="s">
        <v>4641</v>
      </c>
      <c r="C1918" s="61" t="s">
        <v>4642</v>
      </c>
      <c r="D1918" s="69" t="s">
        <v>21</v>
      </c>
    </row>
    <row r="1919" customHeight="1" spans="1:4">
      <c r="A1919" s="43">
        <v>1916</v>
      </c>
      <c r="B1919" s="51" t="s">
        <v>4643</v>
      </c>
      <c r="C1919" s="61" t="s">
        <v>4644</v>
      </c>
      <c r="D1919" s="69" t="s">
        <v>21</v>
      </c>
    </row>
    <row r="1920" customHeight="1" spans="1:4">
      <c r="A1920" s="43">
        <v>1917</v>
      </c>
      <c r="B1920" s="50" t="s">
        <v>4645</v>
      </c>
      <c r="C1920" s="49" t="s">
        <v>4646</v>
      </c>
      <c r="D1920" s="50" t="s">
        <v>21</v>
      </c>
    </row>
    <row r="1921" customHeight="1" spans="1:4">
      <c r="A1921" s="43">
        <v>1918</v>
      </c>
      <c r="B1921" s="51" t="s">
        <v>4647</v>
      </c>
      <c r="C1921" s="61" t="s">
        <v>4648</v>
      </c>
      <c r="D1921" s="69" t="s">
        <v>21</v>
      </c>
    </row>
    <row r="1922" customHeight="1" spans="1:4">
      <c r="A1922" s="43">
        <v>1919</v>
      </c>
      <c r="B1922" s="50" t="s">
        <v>4649</v>
      </c>
      <c r="C1922" s="49" t="s">
        <v>4650</v>
      </c>
      <c r="D1922" s="50" t="s">
        <v>21</v>
      </c>
    </row>
    <row r="1923" customHeight="1" spans="1:4">
      <c r="A1923" s="43">
        <v>1920</v>
      </c>
      <c r="B1923" s="51" t="s">
        <v>4651</v>
      </c>
      <c r="C1923" s="61" t="s">
        <v>4652</v>
      </c>
      <c r="D1923" s="69" t="s">
        <v>21</v>
      </c>
    </row>
    <row r="1924" customHeight="1" spans="1:4">
      <c r="A1924" s="43">
        <v>1921</v>
      </c>
      <c r="B1924" s="51" t="s">
        <v>4653</v>
      </c>
      <c r="C1924" s="61" t="s">
        <v>4654</v>
      </c>
      <c r="D1924" s="69" t="s">
        <v>21</v>
      </c>
    </row>
    <row r="1925" customHeight="1" spans="1:4">
      <c r="A1925" s="43">
        <v>1922</v>
      </c>
      <c r="B1925" s="51" t="s">
        <v>4655</v>
      </c>
      <c r="C1925" s="61" t="s">
        <v>4656</v>
      </c>
      <c r="D1925" s="69" t="s">
        <v>21</v>
      </c>
    </row>
    <row r="1926" customHeight="1" spans="1:4">
      <c r="A1926" s="43">
        <v>1923</v>
      </c>
      <c r="B1926" s="51" t="s">
        <v>4657</v>
      </c>
      <c r="C1926" s="61" t="s">
        <v>4658</v>
      </c>
      <c r="D1926" s="69" t="s">
        <v>21</v>
      </c>
    </row>
    <row r="1927" customHeight="1" spans="1:4">
      <c r="A1927" s="43">
        <v>1924</v>
      </c>
      <c r="B1927" s="51" t="s">
        <v>4659</v>
      </c>
      <c r="C1927" s="61" t="s">
        <v>4660</v>
      </c>
      <c r="D1927" s="69" t="s">
        <v>21</v>
      </c>
    </row>
    <row r="1928" customHeight="1" spans="1:4">
      <c r="A1928" s="43">
        <v>1925</v>
      </c>
      <c r="B1928" s="51" t="s">
        <v>4661</v>
      </c>
      <c r="C1928" s="61" t="s">
        <v>4662</v>
      </c>
      <c r="D1928" s="69" t="s">
        <v>21</v>
      </c>
    </row>
    <row r="1929" customHeight="1" spans="1:4">
      <c r="A1929" s="43">
        <v>1926</v>
      </c>
      <c r="B1929" s="51" t="s">
        <v>4663</v>
      </c>
      <c r="C1929" s="61" t="s">
        <v>4664</v>
      </c>
      <c r="D1929" s="69" t="s">
        <v>21</v>
      </c>
    </row>
    <row r="1930" customHeight="1" spans="1:4">
      <c r="A1930" s="43">
        <v>1927</v>
      </c>
      <c r="B1930" s="51" t="s">
        <v>4665</v>
      </c>
      <c r="C1930" s="61" t="s">
        <v>4666</v>
      </c>
      <c r="D1930" s="69" t="s">
        <v>21</v>
      </c>
    </row>
    <row r="1931" customHeight="1" spans="1:4">
      <c r="A1931" s="43">
        <v>1928</v>
      </c>
      <c r="B1931" s="50" t="s">
        <v>4667</v>
      </c>
      <c r="C1931" s="49" t="s">
        <v>4668</v>
      </c>
      <c r="D1931" s="50" t="s">
        <v>21</v>
      </c>
    </row>
    <row r="1932" customHeight="1" spans="1:4">
      <c r="A1932" s="43">
        <v>1929</v>
      </c>
      <c r="B1932" s="51" t="s">
        <v>4669</v>
      </c>
      <c r="C1932" s="61" t="s">
        <v>4670</v>
      </c>
      <c r="D1932" s="69" t="s">
        <v>21</v>
      </c>
    </row>
    <row r="1933" customHeight="1" spans="1:4">
      <c r="A1933" s="43">
        <v>1930</v>
      </c>
      <c r="B1933" s="51" t="s">
        <v>4671</v>
      </c>
      <c r="C1933" s="61" t="s">
        <v>4672</v>
      </c>
      <c r="D1933" s="69" t="s">
        <v>21</v>
      </c>
    </row>
    <row r="1934" customHeight="1" spans="1:4">
      <c r="A1934" s="43">
        <v>1931</v>
      </c>
      <c r="B1934" s="51" t="s">
        <v>4673</v>
      </c>
      <c r="C1934" s="61" t="s">
        <v>4674</v>
      </c>
      <c r="D1934" s="69" t="s">
        <v>21</v>
      </c>
    </row>
    <row r="1935" customHeight="1" spans="1:4">
      <c r="A1935" s="43">
        <v>1932</v>
      </c>
      <c r="B1935" s="50" t="s">
        <v>4675</v>
      </c>
      <c r="C1935" s="49" t="s">
        <v>4676</v>
      </c>
      <c r="D1935" s="50" t="s">
        <v>21</v>
      </c>
    </row>
    <row r="1936" customHeight="1" spans="1:4">
      <c r="A1936" s="43">
        <v>1933</v>
      </c>
      <c r="B1936" s="51" t="s">
        <v>4677</v>
      </c>
      <c r="C1936" s="61" t="s">
        <v>4678</v>
      </c>
      <c r="D1936" s="69" t="s">
        <v>21</v>
      </c>
    </row>
    <row r="1937" customHeight="1" spans="1:4">
      <c r="A1937" s="43">
        <v>1934</v>
      </c>
      <c r="B1937" s="51" t="s">
        <v>4679</v>
      </c>
      <c r="C1937" s="61" t="s">
        <v>4680</v>
      </c>
      <c r="D1937" s="69" t="s">
        <v>21</v>
      </c>
    </row>
    <row r="1938" customHeight="1" spans="1:4">
      <c r="A1938" s="43">
        <v>1935</v>
      </c>
      <c r="B1938" s="51" t="s">
        <v>4681</v>
      </c>
      <c r="C1938" s="61" t="s">
        <v>4682</v>
      </c>
      <c r="D1938" s="69" t="s">
        <v>21</v>
      </c>
    </row>
    <row r="1939" customHeight="1" spans="1:4">
      <c r="A1939" s="43">
        <v>1936</v>
      </c>
      <c r="B1939" s="51" t="s">
        <v>4683</v>
      </c>
      <c r="C1939" s="61" t="s">
        <v>4684</v>
      </c>
      <c r="D1939" s="69" t="s">
        <v>21</v>
      </c>
    </row>
    <row r="1940" customHeight="1" spans="1:4">
      <c r="A1940" s="43">
        <v>1937</v>
      </c>
      <c r="B1940" s="51" t="s">
        <v>4685</v>
      </c>
      <c r="C1940" s="61" t="s">
        <v>4686</v>
      </c>
      <c r="D1940" s="69" t="s">
        <v>21</v>
      </c>
    </row>
    <row r="1941" customHeight="1" spans="1:4">
      <c r="A1941" s="43">
        <v>1938</v>
      </c>
      <c r="B1941" s="51" t="s">
        <v>4687</v>
      </c>
      <c r="C1941" s="61" t="s">
        <v>4688</v>
      </c>
      <c r="D1941" s="69" t="s">
        <v>21</v>
      </c>
    </row>
    <row r="1942" customHeight="1" spans="1:4">
      <c r="A1942" s="43">
        <v>1939</v>
      </c>
      <c r="B1942" s="50" t="s">
        <v>4689</v>
      </c>
      <c r="C1942" s="44" t="s">
        <v>4690</v>
      </c>
      <c r="D1942" s="43" t="s">
        <v>21</v>
      </c>
    </row>
    <row r="1943" customHeight="1" spans="1:4">
      <c r="A1943" s="43">
        <v>1940</v>
      </c>
      <c r="B1943" s="50" t="s">
        <v>4691</v>
      </c>
      <c r="C1943" s="44" t="s">
        <v>4692</v>
      </c>
      <c r="D1943" s="43" t="s">
        <v>21</v>
      </c>
    </row>
    <row r="1944" customHeight="1" spans="1:4">
      <c r="A1944" s="43">
        <v>1941</v>
      </c>
      <c r="B1944" s="50" t="s">
        <v>4693</v>
      </c>
      <c r="C1944" s="44" t="s">
        <v>4694</v>
      </c>
      <c r="D1944" s="43" t="s">
        <v>21</v>
      </c>
    </row>
    <row r="1945" customHeight="1" spans="1:4">
      <c r="A1945" s="43">
        <v>1942</v>
      </c>
      <c r="B1945" s="51" t="s">
        <v>4695</v>
      </c>
      <c r="C1945" s="61" t="s">
        <v>4696</v>
      </c>
      <c r="D1945" s="69" t="s">
        <v>21</v>
      </c>
    </row>
    <row r="1946" customHeight="1" spans="1:4">
      <c r="A1946" s="43">
        <v>1943</v>
      </c>
      <c r="B1946" s="51" t="s">
        <v>4697</v>
      </c>
      <c r="C1946" s="61" t="s">
        <v>4698</v>
      </c>
      <c r="D1946" s="69" t="s">
        <v>21</v>
      </c>
    </row>
    <row r="1947" customHeight="1" spans="1:4">
      <c r="A1947" s="43">
        <v>1944</v>
      </c>
      <c r="B1947" s="51" t="s">
        <v>4699</v>
      </c>
      <c r="C1947" s="61" t="s">
        <v>4700</v>
      </c>
      <c r="D1947" s="69" t="s">
        <v>21</v>
      </c>
    </row>
    <row r="1948" customHeight="1" spans="1:4">
      <c r="A1948" s="43">
        <v>1945</v>
      </c>
      <c r="B1948" s="51" t="s">
        <v>4701</v>
      </c>
      <c r="C1948" s="61" t="s">
        <v>4702</v>
      </c>
      <c r="D1948" s="69" t="s">
        <v>21</v>
      </c>
    </row>
    <row r="1949" customHeight="1" spans="1:4">
      <c r="A1949" s="43">
        <v>1946</v>
      </c>
      <c r="B1949" s="51" t="s">
        <v>4703</v>
      </c>
      <c r="C1949" s="61" t="s">
        <v>4704</v>
      </c>
      <c r="D1949" s="69" t="s">
        <v>4705</v>
      </c>
    </row>
    <row r="1950" customHeight="1" spans="1:4">
      <c r="A1950" s="43">
        <v>1947</v>
      </c>
      <c r="B1950" s="51" t="s">
        <v>4706</v>
      </c>
      <c r="C1950" s="61" t="s">
        <v>4707</v>
      </c>
      <c r="D1950" s="69" t="s">
        <v>21</v>
      </c>
    </row>
    <row r="1951" customHeight="1" spans="1:4">
      <c r="A1951" s="43">
        <v>1948</v>
      </c>
      <c r="B1951" s="51" t="s">
        <v>4708</v>
      </c>
      <c r="C1951" s="61" t="s">
        <v>4709</v>
      </c>
      <c r="D1951" s="69" t="s">
        <v>4705</v>
      </c>
    </row>
    <row r="1952" customHeight="1" spans="1:4">
      <c r="A1952" s="43">
        <v>1949</v>
      </c>
      <c r="B1952" s="51" t="s">
        <v>4710</v>
      </c>
      <c r="C1952" s="61" t="s">
        <v>4711</v>
      </c>
      <c r="D1952" s="69" t="s">
        <v>21</v>
      </c>
    </row>
    <row r="1953" customHeight="1" spans="1:4">
      <c r="A1953" s="43">
        <v>1950</v>
      </c>
      <c r="B1953" s="51" t="s">
        <v>4712</v>
      </c>
      <c r="C1953" s="61" t="s">
        <v>4713</v>
      </c>
      <c r="D1953" s="69" t="s">
        <v>4705</v>
      </c>
    </row>
    <row r="1954" customHeight="1" spans="1:4">
      <c r="A1954" s="43">
        <v>1951</v>
      </c>
      <c r="B1954" s="51" t="s">
        <v>4714</v>
      </c>
      <c r="C1954" s="61" t="s">
        <v>4715</v>
      </c>
      <c r="D1954" s="69" t="s">
        <v>21</v>
      </c>
    </row>
    <row r="1955" customHeight="1" spans="1:4">
      <c r="A1955" s="43">
        <v>1952</v>
      </c>
      <c r="B1955" s="51" t="s">
        <v>4716</v>
      </c>
      <c r="C1955" s="61" t="s">
        <v>4717</v>
      </c>
      <c r="D1955" s="69" t="s">
        <v>4705</v>
      </c>
    </row>
    <row r="1956" customHeight="1" spans="1:4">
      <c r="A1956" s="43">
        <v>1953</v>
      </c>
      <c r="B1956" s="51" t="s">
        <v>4718</v>
      </c>
      <c r="C1956" s="61" t="s">
        <v>4719</v>
      </c>
      <c r="D1956" s="69" t="s">
        <v>21</v>
      </c>
    </row>
    <row r="1957" customHeight="1" spans="1:4">
      <c r="A1957" s="43">
        <v>1954</v>
      </c>
      <c r="B1957" s="51" t="s">
        <v>4720</v>
      </c>
      <c r="C1957" s="61" t="s">
        <v>4721</v>
      </c>
      <c r="D1957" s="69" t="s">
        <v>21</v>
      </c>
    </row>
    <row r="1958" customHeight="1" spans="1:4">
      <c r="A1958" s="43">
        <v>1955</v>
      </c>
      <c r="B1958" s="51" t="s">
        <v>4722</v>
      </c>
      <c r="C1958" s="61" t="s">
        <v>4723</v>
      </c>
      <c r="D1958" s="69" t="s">
        <v>21</v>
      </c>
    </row>
    <row r="1959" customHeight="1" spans="1:4">
      <c r="A1959" s="43">
        <v>1956</v>
      </c>
      <c r="B1959" s="50" t="s">
        <v>4724</v>
      </c>
      <c r="C1959" s="49" t="s">
        <v>4725</v>
      </c>
      <c r="D1959" s="50" t="s">
        <v>4726</v>
      </c>
    </row>
    <row r="1960" customHeight="1" spans="1:4">
      <c r="A1960" s="43">
        <v>1957</v>
      </c>
      <c r="B1960" s="50" t="s">
        <v>4727</v>
      </c>
      <c r="C1960" s="49" t="s">
        <v>4728</v>
      </c>
      <c r="D1960" s="50" t="s">
        <v>4726</v>
      </c>
    </row>
    <row r="1961" customHeight="1" spans="1:4">
      <c r="A1961" s="43">
        <v>1958</v>
      </c>
      <c r="B1961" s="50" t="s">
        <v>4729</v>
      </c>
      <c r="C1961" s="49" t="s">
        <v>4730</v>
      </c>
      <c r="D1961" s="50" t="s">
        <v>4731</v>
      </c>
    </row>
    <row r="1962" customHeight="1" spans="1:4">
      <c r="A1962" s="43">
        <v>1959</v>
      </c>
      <c r="B1962" s="51" t="s">
        <v>4732</v>
      </c>
      <c r="C1962" s="61" t="s">
        <v>4733</v>
      </c>
      <c r="D1962" s="69" t="s">
        <v>21</v>
      </c>
    </row>
    <row r="1963" customHeight="1" spans="1:4">
      <c r="A1963" s="43">
        <v>1960</v>
      </c>
      <c r="B1963" s="51" t="s">
        <v>4734</v>
      </c>
      <c r="C1963" s="61" t="s">
        <v>4735</v>
      </c>
      <c r="D1963" s="69" t="s">
        <v>21</v>
      </c>
    </row>
    <row r="1964" customHeight="1" spans="1:4">
      <c r="A1964" s="43">
        <v>1961</v>
      </c>
      <c r="B1964" s="51" t="s">
        <v>4736</v>
      </c>
      <c r="C1964" s="61" t="s">
        <v>4737</v>
      </c>
      <c r="D1964" s="69" t="s">
        <v>21</v>
      </c>
    </row>
    <row r="1965" customHeight="1" spans="1:4">
      <c r="A1965" s="43">
        <v>1962</v>
      </c>
      <c r="B1965" s="50" t="s">
        <v>4738</v>
      </c>
      <c r="C1965" s="49" t="s">
        <v>4739</v>
      </c>
      <c r="D1965" s="50" t="s">
        <v>4740</v>
      </c>
    </row>
    <row r="1966" customHeight="1" spans="1:4">
      <c r="A1966" s="43">
        <v>1963</v>
      </c>
      <c r="B1966" s="50" t="s">
        <v>4741</v>
      </c>
      <c r="C1966" s="49" t="s">
        <v>4742</v>
      </c>
      <c r="D1966" s="50" t="s">
        <v>4740</v>
      </c>
    </row>
    <row r="1967" customHeight="1" spans="1:4">
      <c r="A1967" s="43">
        <v>1964</v>
      </c>
      <c r="B1967" s="50" t="s">
        <v>4743</v>
      </c>
      <c r="C1967" s="49" t="s">
        <v>4744</v>
      </c>
      <c r="D1967" s="50" t="s">
        <v>21</v>
      </c>
    </row>
    <row r="1968" customHeight="1" spans="1:4">
      <c r="A1968" s="43">
        <v>1965</v>
      </c>
      <c r="B1968" s="50" t="s">
        <v>4745</v>
      </c>
      <c r="C1968" s="49" t="s">
        <v>4746</v>
      </c>
      <c r="D1968" s="50" t="s">
        <v>21</v>
      </c>
    </row>
    <row r="1969" customHeight="1" spans="1:4">
      <c r="A1969" s="43">
        <v>1966</v>
      </c>
      <c r="B1969" s="51" t="s">
        <v>4747</v>
      </c>
      <c r="C1969" s="61" t="s">
        <v>4748</v>
      </c>
      <c r="D1969" s="69" t="s">
        <v>21</v>
      </c>
    </row>
    <row r="1970" customHeight="1" spans="1:4">
      <c r="A1970" s="43">
        <v>1967</v>
      </c>
      <c r="B1970" s="51" t="s">
        <v>4749</v>
      </c>
      <c r="C1970" s="61" t="s">
        <v>4750</v>
      </c>
      <c r="D1970" s="69" t="s">
        <v>21</v>
      </c>
    </row>
    <row r="1971" customHeight="1" spans="1:4">
      <c r="A1971" s="43">
        <v>1968</v>
      </c>
      <c r="B1971" s="51" t="s">
        <v>4751</v>
      </c>
      <c r="C1971" s="61" t="s">
        <v>4752</v>
      </c>
      <c r="D1971" s="69" t="s">
        <v>21</v>
      </c>
    </row>
    <row r="1972" customHeight="1" spans="1:4">
      <c r="A1972" s="43">
        <v>1969</v>
      </c>
      <c r="B1972" s="51" t="s">
        <v>4753</v>
      </c>
      <c r="C1972" s="61" t="s">
        <v>4754</v>
      </c>
      <c r="D1972" s="69" t="s">
        <v>21</v>
      </c>
    </row>
    <row r="1973" customHeight="1" spans="1:4">
      <c r="A1973" s="43">
        <v>1970</v>
      </c>
      <c r="B1973" s="51" t="s">
        <v>4755</v>
      </c>
      <c r="C1973" s="61" t="s">
        <v>4756</v>
      </c>
      <c r="D1973" s="69" t="s">
        <v>21</v>
      </c>
    </row>
    <row r="1974" customHeight="1" spans="1:4">
      <c r="A1974" s="43">
        <v>1971</v>
      </c>
      <c r="B1974" s="51" t="s">
        <v>4757</v>
      </c>
      <c r="C1974" s="61" t="s">
        <v>4758</v>
      </c>
      <c r="D1974" s="69" t="s">
        <v>21</v>
      </c>
    </row>
    <row r="1975" customHeight="1" spans="1:4">
      <c r="A1975" s="43">
        <v>1972</v>
      </c>
      <c r="B1975" s="51" t="s">
        <v>4759</v>
      </c>
      <c r="C1975" s="61" t="s">
        <v>4760</v>
      </c>
      <c r="D1975" s="69" t="s">
        <v>21</v>
      </c>
    </row>
    <row r="1976" customHeight="1" spans="1:4">
      <c r="A1976" s="43">
        <v>1973</v>
      </c>
      <c r="B1976" s="50" t="s">
        <v>4761</v>
      </c>
      <c r="C1976" s="49" t="s">
        <v>4762</v>
      </c>
      <c r="D1976" s="50" t="s">
        <v>21</v>
      </c>
    </row>
    <row r="1977" customHeight="1" spans="1:4">
      <c r="A1977" s="43">
        <v>1974</v>
      </c>
      <c r="B1977" s="51" t="s">
        <v>4763</v>
      </c>
      <c r="C1977" s="61" t="s">
        <v>4764</v>
      </c>
      <c r="D1977" s="69" t="s">
        <v>21</v>
      </c>
    </row>
    <row r="1978" customHeight="1" spans="1:4">
      <c r="A1978" s="43">
        <v>1975</v>
      </c>
      <c r="B1978" s="51" t="s">
        <v>4765</v>
      </c>
      <c r="C1978" s="61" t="s">
        <v>4766</v>
      </c>
      <c r="D1978" s="69" t="s">
        <v>21</v>
      </c>
    </row>
    <row r="1979" customHeight="1" spans="1:4">
      <c r="A1979" s="43">
        <v>1976</v>
      </c>
      <c r="B1979" s="51" t="s">
        <v>4767</v>
      </c>
      <c r="C1979" s="61" t="s">
        <v>4768</v>
      </c>
      <c r="D1979" s="69" t="s">
        <v>21</v>
      </c>
    </row>
    <row r="1980" customHeight="1" spans="1:4">
      <c r="A1980" s="43">
        <v>1977</v>
      </c>
      <c r="B1980" s="51" t="s">
        <v>4769</v>
      </c>
      <c r="C1980" s="61" t="s">
        <v>4770</v>
      </c>
      <c r="D1980" s="69" t="s">
        <v>21</v>
      </c>
    </row>
    <row r="1981" customHeight="1" spans="1:4">
      <c r="A1981" s="43">
        <v>1978</v>
      </c>
      <c r="B1981" s="51" t="s">
        <v>4771</v>
      </c>
      <c r="C1981" s="61" t="s">
        <v>4772</v>
      </c>
      <c r="D1981" s="69" t="s">
        <v>21</v>
      </c>
    </row>
    <row r="1982" customHeight="1" spans="1:4">
      <c r="A1982" s="43">
        <v>1979</v>
      </c>
      <c r="B1982" s="51" t="s">
        <v>4773</v>
      </c>
      <c r="C1982" s="61" t="s">
        <v>4774</v>
      </c>
      <c r="D1982" s="69" t="s">
        <v>21</v>
      </c>
    </row>
    <row r="1983" customHeight="1" spans="1:4">
      <c r="A1983" s="43">
        <v>1980</v>
      </c>
      <c r="B1983" s="51" t="s">
        <v>4775</v>
      </c>
      <c r="C1983" s="61" t="s">
        <v>4776</v>
      </c>
      <c r="D1983" s="69" t="s">
        <v>21</v>
      </c>
    </row>
    <row r="1984" customHeight="1" spans="1:4">
      <c r="A1984" s="43">
        <v>1981</v>
      </c>
      <c r="B1984" s="51" t="s">
        <v>4777</v>
      </c>
      <c r="C1984" s="61" t="s">
        <v>4778</v>
      </c>
      <c r="D1984" s="69" t="s">
        <v>21</v>
      </c>
    </row>
    <row r="1985" customHeight="1" spans="1:4">
      <c r="A1985" s="43">
        <v>1982</v>
      </c>
      <c r="B1985" s="51" t="s">
        <v>4779</v>
      </c>
      <c r="C1985" s="61" t="s">
        <v>4780</v>
      </c>
      <c r="D1985" s="69" t="s">
        <v>21</v>
      </c>
    </row>
    <row r="1986" customHeight="1" spans="1:4">
      <c r="A1986" s="43">
        <v>1983</v>
      </c>
      <c r="B1986" s="51" t="s">
        <v>4781</v>
      </c>
      <c r="C1986" s="61" t="s">
        <v>4782</v>
      </c>
      <c r="D1986" s="69" t="s">
        <v>21</v>
      </c>
    </row>
    <row r="1987" customHeight="1" spans="1:4">
      <c r="A1987" s="43">
        <v>1984</v>
      </c>
      <c r="B1987" s="51" t="s">
        <v>4783</v>
      </c>
      <c r="C1987" s="61" t="s">
        <v>4784</v>
      </c>
      <c r="D1987" s="69" t="s">
        <v>991</v>
      </c>
    </row>
    <row r="1988" customHeight="1" spans="1:4">
      <c r="A1988" s="43">
        <v>1985</v>
      </c>
      <c r="B1988" s="51" t="s">
        <v>4785</v>
      </c>
      <c r="C1988" s="61" t="s">
        <v>4786</v>
      </c>
      <c r="D1988" s="69" t="s">
        <v>21</v>
      </c>
    </row>
    <row r="1989" customHeight="1" spans="1:4">
      <c r="A1989" s="43">
        <v>1986</v>
      </c>
      <c r="B1989" s="51" t="s">
        <v>4787</v>
      </c>
      <c r="C1989" s="61" t="s">
        <v>4788</v>
      </c>
      <c r="D1989" s="69" t="s">
        <v>991</v>
      </c>
    </row>
    <row r="1990" customHeight="1" spans="1:4">
      <c r="A1990" s="43">
        <v>1987</v>
      </c>
      <c r="B1990" s="51" t="s">
        <v>4789</v>
      </c>
      <c r="C1990" s="61" t="s">
        <v>4790</v>
      </c>
      <c r="D1990" s="69" t="s">
        <v>21</v>
      </c>
    </row>
    <row r="1991" customHeight="1" spans="1:4">
      <c r="A1991" s="43">
        <v>1988</v>
      </c>
      <c r="B1991" s="50" t="s">
        <v>4791</v>
      </c>
      <c r="C1991" s="49" t="s">
        <v>4792</v>
      </c>
      <c r="D1991" s="50" t="s">
        <v>21</v>
      </c>
    </row>
    <row r="1992" customHeight="1" spans="1:4">
      <c r="A1992" s="43">
        <v>1989</v>
      </c>
      <c r="B1992" s="51" t="s">
        <v>4793</v>
      </c>
      <c r="C1992" s="61" t="s">
        <v>4794</v>
      </c>
      <c r="D1992" s="69" t="s">
        <v>21</v>
      </c>
    </row>
    <row r="1993" customHeight="1" spans="1:4">
      <c r="A1993" s="43">
        <v>1990</v>
      </c>
      <c r="B1993" s="51" t="s">
        <v>4795</v>
      </c>
      <c r="C1993" s="61" t="s">
        <v>4796</v>
      </c>
      <c r="D1993" s="69" t="s">
        <v>21</v>
      </c>
    </row>
    <row r="1994" customHeight="1" spans="1:4">
      <c r="A1994" s="43">
        <v>1991</v>
      </c>
      <c r="B1994" s="51" t="s">
        <v>4797</v>
      </c>
      <c r="C1994" s="61" t="s">
        <v>4798</v>
      </c>
      <c r="D1994" s="69" t="s">
        <v>21</v>
      </c>
    </row>
    <row r="1995" customHeight="1" spans="1:4">
      <c r="A1995" s="43">
        <v>1992</v>
      </c>
      <c r="B1995" s="50" t="s">
        <v>4799</v>
      </c>
      <c r="C1995" s="49" t="s">
        <v>4800</v>
      </c>
      <c r="D1995" s="50" t="s">
        <v>21</v>
      </c>
    </row>
    <row r="1996" customHeight="1" spans="1:4">
      <c r="A1996" s="43">
        <v>1993</v>
      </c>
      <c r="B1996" s="51" t="s">
        <v>4801</v>
      </c>
      <c r="C1996" s="61" t="s">
        <v>4802</v>
      </c>
      <c r="D1996" s="69" t="s">
        <v>21</v>
      </c>
    </row>
    <row r="1997" customHeight="1" spans="1:4">
      <c r="A1997" s="43">
        <v>1994</v>
      </c>
      <c r="B1997" s="51" t="s">
        <v>4803</v>
      </c>
      <c r="C1997" s="61" t="s">
        <v>4804</v>
      </c>
      <c r="D1997" s="69" t="s">
        <v>21</v>
      </c>
    </row>
    <row r="1998" customHeight="1" spans="1:4">
      <c r="A1998" s="43">
        <v>1995</v>
      </c>
      <c r="B1998" s="51" t="s">
        <v>4805</v>
      </c>
      <c r="C1998" s="61" t="s">
        <v>4806</v>
      </c>
      <c r="D1998" s="69" t="s">
        <v>21</v>
      </c>
    </row>
    <row r="1999" customHeight="1" spans="1:4">
      <c r="A1999" s="43">
        <v>1996</v>
      </c>
      <c r="B1999" s="51" t="s">
        <v>4807</v>
      </c>
      <c r="C1999" s="52" t="s">
        <v>4808</v>
      </c>
      <c r="D1999" s="53" t="s">
        <v>21</v>
      </c>
    </row>
    <row r="2000" customHeight="1" spans="1:4">
      <c r="A2000" s="43">
        <v>1997</v>
      </c>
      <c r="B2000" s="51" t="s">
        <v>4809</v>
      </c>
      <c r="C2000" s="52" t="s">
        <v>4810</v>
      </c>
      <c r="D2000" s="53" t="s">
        <v>21</v>
      </c>
    </row>
    <row r="2001" customHeight="1" spans="1:4">
      <c r="A2001" s="43">
        <v>1998</v>
      </c>
      <c r="B2001" s="51" t="s">
        <v>4811</v>
      </c>
      <c r="C2001" s="61" t="s">
        <v>4812</v>
      </c>
      <c r="D2001" s="69" t="s">
        <v>4813</v>
      </c>
    </row>
    <row r="2002" customHeight="1" spans="1:4">
      <c r="A2002" s="43">
        <v>1999</v>
      </c>
      <c r="B2002" s="51" t="s">
        <v>4814</v>
      </c>
      <c r="C2002" s="52" t="s">
        <v>4815</v>
      </c>
      <c r="D2002" s="69" t="s">
        <v>21</v>
      </c>
    </row>
    <row r="2003" customHeight="1" spans="1:4">
      <c r="A2003" s="43">
        <v>2000</v>
      </c>
      <c r="B2003" s="51" t="s">
        <v>4816</v>
      </c>
      <c r="C2003" s="61" t="s">
        <v>4817</v>
      </c>
      <c r="D2003" s="69" t="s">
        <v>21</v>
      </c>
    </row>
    <row r="2004" customHeight="1" spans="1:4">
      <c r="A2004" s="43">
        <v>2001</v>
      </c>
      <c r="B2004" s="51" t="s">
        <v>4818</v>
      </c>
      <c r="C2004" s="61" t="s">
        <v>4819</v>
      </c>
      <c r="D2004" s="69" t="s">
        <v>21</v>
      </c>
    </row>
    <row r="2005" customHeight="1" spans="1:4">
      <c r="A2005" s="43">
        <v>2002</v>
      </c>
      <c r="B2005" s="51" t="s">
        <v>4820</v>
      </c>
      <c r="C2005" s="61" t="s">
        <v>4821</v>
      </c>
      <c r="D2005" s="69" t="s">
        <v>21</v>
      </c>
    </row>
    <row r="2006" customHeight="1" spans="1:4">
      <c r="A2006" s="43">
        <v>2003</v>
      </c>
      <c r="B2006" s="51" t="s">
        <v>4822</v>
      </c>
      <c r="C2006" s="61" t="s">
        <v>4823</v>
      </c>
      <c r="D2006" s="69" t="s">
        <v>21</v>
      </c>
    </row>
    <row r="2007" customHeight="1" spans="1:4">
      <c r="A2007" s="43">
        <v>2004</v>
      </c>
      <c r="B2007" s="51" t="s">
        <v>4824</v>
      </c>
      <c r="C2007" s="61" t="s">
        <v>4825</v>
      </c>
      <c r="D2007" s="69" t="s">
        <v>21</v>
      </c>
    </row>
    <row r="2008" customHeight="1" spans="1:4">
      <c r="A2008" s="43">
        <v>2005</v>
      </c>
      <c r="B2008" s="51" t="s">
        <v>4826</v>
      </c>
      <c r="C2008" s="61" t="s">
        <v>4827</v>
      </c>
      <c r="D2008" s="69" t="s">
        <v>21</v>
      </c>
    </row>
    <row r="2009" customHeight="1" spans="1:4">
      <c r="A2009" s="43">
        <v>2006</v>
      </c>
      <c r="B2009" s="51" t="s">
        <v>4828</v>
      </c>
      <c r="C2009" s="61" t="s">
        <v>4829</v>
      </c>
      <c r="D2009" s="69" t="s">
        <v>21</v>
      </c>
    </row>
    <row r="2010" customHeight="1" spans="1:4">
      <c r="A2010" s="43">
        <v>2007</v>
      </c>
      <c r="B2010" s="51" t="s">
        <v>4830</v>
      </c>
      <c r="C2010" s="61" t="s">
        <v>4831</v>
      </c>
      <c r="D2010" s="69" t="s">
        <v>21</v>
      </c>
    </row>
    <row r="2011" customHeight="1" spans="1:4">
      <c r="A2011" s="43">
        <v>2008</v>
      </c>
      <c r="B2011" s="93" t="s">
        <v>4832</v>
      </c>
      <c r="C2011" s="94" t="s">
        <v>4833</v>
      </c>
      <c r="D2011" s="69" t="s">
        <v>21</v>
      </c>
    </row>
    <row r="2012" customHeight="1" spans="1:4">
      <c r="A2012" s="43">
        <v>2009</v>
      </c>
      <c r="B2012" s="93" t="s">
        <v>4834</v>
      </c>
      <c r="C2012" s="94" t="s">
        <v>4835</v>
      </c>
      <c r="D2012" s="69" t="s">
        <v>21</v>
      </c>
    </row>
    <row r="2013" customHeight="1" spans="1:4">
      <c r="A2013" s="43">
        <v>2010</v>
      </c>
      <c r="B2013" s="51" t="s">
        <v>4836</v>
      </c>
      <c r="C2013" s="61" t="s">
        <v>4837</v>
      </c>
      <c r="D2013" s="69" t="s">
        <v>21</v>
      </c>
    </row>
    <row r="2014" customHeight="1" spans="1:4">
      <c r="A2014" s="43">
        <v>2011</v>
      </c>
      <c r="B2014" s="51" t="s">
        <v>4838</v>
      </c>
      <c r="C2014" s="61" t="s">
        <v>4839</v>
      </c>
      <c r="D2014" s="69" t="s">
        <v>21</v>
      </c>
    </row>
    <row r="2015" customHeight="1" spans="1:4">
      <c r="A2015" s="43">
        <v>2012</v>
      </c>
      <c r="B2015" s="51" t="s">
        <v>4840</v>
      </c>
      <c r="C2015" s="61" t="s">
        <v>4841</v>
      </c>
      <c r="D2015" s="69" t="s">
        <v>21</v>
      </c>
    </row>
    <row r="2016" customHeight="1" spans="1:4">
      <c r="A2016" s="43">
        <v>2013</v>
      </c>
      <c r="B2016" s="51" t="s">
        <v>4842</v>
      </c>
      <c r="C2016" s="61" t="s">
        <v>4843</v>
      </c>
      <c r="D2016" s="69" t="s">
        <v>21</v>
      </c>
    </row>
    <row r="2017" customHeight="1" spans="1:4">
      <c r="A2017" s="43">
        <v>2014</v>
      </c>
      <c r="B2017" s="51" t="s">
        <v>4844</v>
      </c>
      <c r="C2017" s="61" t="s">
        <v>4845</v>
      </c>
      <c r="D2017" s="69" t="s">
        <v>21</v>
      </c>
    </row>
    <row r="2018" customHeight="1" spans="1:4">
      <c r="A2018" s="43">
        <v>2015</v>
      </c>
      <c r="B2018" s="51" t="s">
        <v>4846</v>
      </c>
      <c r="C2018" s="61" t="s">
        <v>4847</v>
      </c>
      <c r="D2018" s="69" t="s">
        <v>21</v>
      </c>
    </row>
    <row r="2019" customHeight="1" spans="1:4">
      <c r="A2019" s="43">
        <v>2016</v>
      </c>
      <c r="B2019" s="51" t="s">
        <v>4848</v>
      </c>
      <c r="C2019" s="61" t="s">
        <v>4849</v>
      </c>
      <c r="D2019" s="69" t="s">
        <v>21</v>
      </c>
    </row>
    <row r="2020" customHeight="1" spans="1:4">
      <c r="A2020" s="43">
        <v>2017</v>
      </c>
      <c r="B2020" s="143" t="s">
        <v>4850</v>
      </c>
      <c r="C2020" s="49" t="s">
        <v>4851</v>
      </c>
      <c r="D2020" s="50" t="s">
        <v>21</v>
      </c>
    </row>
    <row r="2021" customHeight="1" spans="1:4">
      <c r="A2021" s="43">
        <v>2018</v>
      </c>
      <c r="B2021" s="51" t="s">
        <v>4852</v>
      </c>
      <c r="C2021" s="61" t="s">
        <v>4853</v>
      </c>
      <c r="D2021" s="69" t="s">
        <v>21</v>
      </c>
    </row>
    <row r="2022" customHeight="1" spans="1:4">
      <c r="A2022" s="43">
        <v>2019</v>
      </c>
      <c r="B2022" s="51" t="s">
        <v>4854</v>
      </c>
      <c r="C2022" s="61" t="s">
        <v>4855</v>
      </c>
      <c r="D2022" s="69" t="s">
        <v>21</v>
      </c>
    </row>
    <row r="2023" customHeight="1" spans="1:4">
      <c r="A2023" s="43">
        <v>2020</v>
      </c>
      <c r="B2023" s="51" t="s">
        <v>4856</v>
      </c>
      <c r="C2023" s="61" t="s">
        <v>4857</v>
      </c>
      <c r="D2023" s="69" t="s">
        <v>21</v>
      </c>
    </row>
    <row r="2024" customHeight="1" spans="1:4">
      <c r="A2024" s="43">
        <v>2021</v>
      </c>
      <c r="B2024" s="51" t="s">
        <v>4858</v>
      </c>
      <c r="C2024" s="61" t="s">
        <v>4859</v>
      </c>
      <c r="D2024" s="69" t="s">
        <v>21</v>
      </c>
    </row>
    <row r="2025" customHeight="1" spans="1:4">
      <c r="A2025" s="43">
        <v>2022</v>
      </c>
      <c r="B2025" s="51" t="s">
        <v>4860</v>
      </c>
      <c r="C2025" s="61" t="s">
        <v>4861</v>
      </c>
      <c r="D2025" s="69" t="s">
        <v>21</v>
      </c>
    </row>
    <row r="2026" customHeight="1" spans="1:4">
      <c r="A2026" s="43">
        <v>2023</v>
      </c>
      <c r="B2026" s="51" t="s">
        <v>4862</v>
      </c>
      <c r="C2026" s="61" t="s">
        <v>4863</v>
      </c>
      <c r="D2026" s="69" t="s">
        <v>21</v>
      </c>
    </row>
    <row r="2027" customHeight="1" spans="1:4">
      <c r="A2027" s="43">
        <v>2024</v>
      </c>
      <c r="B2027" s="51" t="s">
        <v>4864</v>
      </c>
      <c r="C2027" s="61" t="s">
        <v>4865</v>
      </c>
      <c r="D2027" s="69" t="s">
        <v>21</v>
      </c>
    </row>
    <row r="2028" customHeight="1" spans="1:4">
      <c r="A2028" s="43">
        <v>2025</v>
      </c>
      <c r="B2028" s="51" t="s">
        <v>4866</v>
      </c>
      <c r="C2028" s="61" t="s">
        <v>4867</v>
      </c>
      <c r="D2028" s="69" t="s">
        <v>21</v>
      </c>
    </row>
    <row r="2029" customHeight="1" spans="1:4">
      <c r="A2029" s="43">
        <v>2026</v>
      </c>
      <c r="B2029" s="51" t="s">
        <v>4868</v>
      </c>
      <c r="C2029" s="61" t="s">
        <v>4869</v>
      </c>
      <c r="D2029" s="69" t="s">
        <v>21</v>
      </c>
    </row>
    <row r="2030" customHeight="1" spans="1:4">
      <c r="A2030" s="43">
        <v>2027</v>
      </c>
      <c r="B2030" s="51" t="s">
        <v>4870</v>
      </c>
      <c r="C2030" s="61" t="s">
        <v>4871</v>
      </c>
      <c r="D2030" s="69" t="s">
        <v>21</v>
      </c>
    </row>
    <row r="2031" customHeight="1" spans="1:4">
      <c r="A2031" s="43">
        <v>2028</v>
      </c>
      <c r="B2031" s="51" t="s">
        <v>4872</v>
      </c>
      <c r="C2031" s="61" t="s">
        <v>4873</v>
      </c>
      <c r="D2031" s="69" t="s">
        <v>21</v>
      </c>
    </row>
    <row r="2032" customHeight="1" spans="1:4">
      <c r="A2032" s="43">
        <v>2029</v>
      </c>
      <c r="B2032" s="51" t="s">
        <v>4874</v>
      </c>
      <c r="C2032" s="61" t="s">
        <v>4875</v>
      </c>
      <c r="D2032" s="69" t="s">
        <v>21</v>
      </c>
    </row>
  </sheetData>
  <autoFilter xmlns:etc="http://www.wps.cn/officeDocument/2017/etCustomData" ref="A3:D2032" etc:filterBottomFollowUsedRange="0">
    <extLst/>
  </autoFilter>
  <mergeCells count="1">
    <mergeCell ref="A2:D2"/>
  </mergeCells>
  <conditionalFormatting sqref="C1198">
    <cfRule type="duplicateValues" dxfId="0" priority="2"/>
  </conditionalFormatting>
  <conditionalFormatting sqref="C1199">
    <cfRule type="duplicateValues" dxfId="0" priority="1"/>
  </conditionalFormatting>
  <conditionalFormatting sqref="C1238">
    <cfRule type="duplicateValues" dxfId="0" priority="25"/>
  </conditionalFormatting>
  <conditionalFormatting sqref="C1246">
    <cfRule type="duplicateValues" dxfId="0" priority="24"/>
  </conditionalFormatting>
  <conditionalFormatting sqref="C1250">
    <cfRule type="duplicateValues" dxfId="0" priority="23"/>
  </conditionalFormatting>
  <conditionalFormatting sqref="C1254">
    <cfRule type="duplicateValues" dxfId="0" priority="22"/>
  </conditionalFormatting>
  <conditionalFormatting sqref="C1258">
    <cfRule type="duplicateValues" dxfId="0" priority="21"/>
  </conditionalFormatting>
  <conditionalFormatting sqref="C1271">
    <cfRule type="duplicateValues" dxfId="0" priority="20"/>
  </conditionalFormatting>
  <conditionalFormatting sqref="C1276">
    <cfRule type="duplicateValues" dxfId="0" priority="33"/>
  </conditionalFormatting>
  <conditionalFormatting sqref="C1288">
    <cfRule type="duplicateValues" dxfId="0" priority="19"/>
  </conditionalFormatting>
  <conditionalFormatting sqref="C1297">
    <cfRule type="duplicateValues" dxfId="0" priority="18"/>
  </conditionalFormatting>
  <conditionalFormatting sqref="C1318">
    <cfRule type="duplicateValues" dxfId="0" priority="4"/>
  </conditionalFormatting>
  <conditionalFormatting sqref="C1322">
    <cfRule type="duplicateValues" dxfId="0" priority="29"/>
  </conditionalFormatting>
  <conditionalFormatting sqref="C1346">
    <cfRule type="duplicateValues" dxfId="0" priority="28"/>
  </conditionalFormatting>
  <conditionalFormatting sqref="C1367">
    <cfRule type="duplicateValues" dxfId="0" priority="17"/>
  </conditionalFormatting>
  <conditionalFormatting sqref="C1415">
    <cfRule type="duplicateValues" dxfId="0" priority="27"/>
  </conditionalFormatting>
  <conditionalFormatting sqref="C1450">
    <cfRule type="duplicateValues" dxfId="0" priority="16"/>
  </conditionalFormatting>
  <conditionalFormatting sqref="C1452">
    <cfRule type="duplicateValues" dxfId="0" priority="15"/>
  </conditionalFormatting>
  <conditionalFormatting sqref="C1461">
    <cfRule type="duplicateValues" dxfId="0" priority="14"/>
  </conditionalFormatting>
  <conditionalFormatting sqref="C1492">
    <cfRule type="duplicateValues" dxfId="0" priority="36"/>
  </conditionalFormatting>
  <conditionalFormatting sqref="C1541">
    <cfRule type="duplicateValues" dxfId="0" priority="13"/>
  </conditionalFormatting>
  <conditionalFormatting sqref="C1560">
    <cfRule type="duplicateValues" dxfId="0" priority="12"/>
  </conditionalFormatting>
  <conditionalFormatting sqref="C1563">
    <cfRule type="duplicateValues" dxfId="0" priority="11"/>
  </conditionalFormatting>
  <conditionalFormatting sqref="C1582">
    <cfRule type="duplicateValues" dxfId="0" priority="10"/>
  </conditionalFormatting>
  <conditionalFormatting sqref="C1601">
    <cfRule type="duplicateValues" dxfId="0" priority="9"/>
  </conditionalFormatting>
  <conditionalFormatting sqref="C1659">
    <cfRule type="duplicateValues" dxfId="0" priority="30"/>
  </conditionalFormatting>
  <conditionalFormatting sqref="C1670">
    <cfRule type="duplicateValues" dxfId="0" priority="8"/>
  </conditionalFormatting>
  <conditionalFormatting sqref="C1696">
    <cfRule type="duplicateValues" dxfId="0" priority="7"/>
  </conditionalFormatting>
  <conditionalFormatting sqref="C1701">
    <cfRule type="duplicateValues" dxfId="0" priority="6"/>
  </conditionalFormatting>
  <conditionalFormatting sqref="C1702">
    <cfRule type="duplicateValues" dxfId="0" priority="5"/>
  </conditionalFormatting>
  <conditionalFormatting sqref="C1721">
    <cfRule type="duplicateValues" dxfId="0" priority="26"/>
  </conditionalFormatting>
  <conditionalFormatting sqref="C1731">
    <cfRule type="duplicateValues" dxfId="0" priority="3"/>
  </conditionalFormatting>
  <conditionalFormatting sqref="C1752">
    <cfRule type="duplicateValues" dxfId="0" priority="31"/>
  </conditionalFormatting>
  <conditionalFormatting sqref="C1316:C1317">
    <cfRule type="duplicateValues" dxfId="0" priority="32"/>
  </conditionalFormatting>
  <conditionalFormatting sqref="C1381:C1382">
    <cfRule type="duplicateValues" dxfId="0" priority="35"/>
  </conditionalFormatting>
  <conditionalFormatting sqref="C1385:C1386">
    <cfRule type="duplicateValues" dxfId="0" priority="34"/>
  </conditionalFormatting>
  <conditionalFormatting sqref="C1200:C1237 C1753:C1764 C1732:C1751 C1722:C1730 C1703:C1720 C1697:C1700 C1671:C1695 C1660:C1669 C1602:C1658 C1583:C1600 C1564:C1581 C1561:C1562 C1542:C1559 C1493:C1540 C1462:C1491 C1453:C1460 C1451 C1416:C1449 C1387:C1414 C1383:C1384 C1368:C1380 C1347:C1366 C1323:C1345 C1319:C1321 C1298:C1315 C1289:C1296 C1277:C1287 C1272:C1275 C1259:C1270 C1255:C1257 C1251:C1253 C1247:C1249 C1239:C1245">
    <cfRule type="duplicateValues" dxfId="0" priority="37"/>
  </conditionalFormatting>
  <pageMargins left="0.554861111111111" right="0.554861111111111"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5"/>
  <sheetViews>
    <sheetView workbookViewId="0">
      <selection activeCell="C2" sqref="C2"/>
    </sheetView>
  </sheetViews>
  <sheetFormatPr defaultColWidth="9.22727272727273" defaultRowHeight="13" outlineLevelCol="3"/>
  <cols>
    <col min="1" max="1" width="6.38181818181818" style="3" customWidth="1"/>
    <col min="2" max="2" width="30.3363636363636" style="4" customWidth="1"/>
    <col min="3" max="4" width="29.8090909090909" style="4" customWidth="1"/>
    <col min="5" max="5" width="14.5636363636364" style="1" customWidth="1"/>
    <col min="6" max="16384" width="9.22727272727273" style="1"/>
  </cols>
  <sheetData>
    <row r="1" s="1" customFormat="1" ht="28" customHeight="1" spans="1:4">
      <c r="A1" s="5" t="s">
        <v>4876</v>
      </c>
      <c r="B1" s="6"/>
      <c r="C1" s="6"/>
      <c r="D1" s="6"/>
    </row>
    <row r="2" s="1" customFormat="1" ht="28" customHeight="1" spans="1:4">
      <c r="A2" s="7" t="s">
        <v>2</v>
      </c>
      <c r="B2" s="7" t="s">
        <v>4</v>
      </c>
      <c r="C2" s="8" t="s">
        <v>4877</v>
      </c>
      <c r="D2" s="9" t="s">
        <v>4</v>
      </c>
    </row>
    <row r="3" s="2" customFormat="1" ht="27" customHeight="1" spans="1:4">
      <c r="A3" s="10">
        <v>1</v>
      </c>
      <c r="B3" s="11" t="s">
        <v>13</v>
      </c>
      <c r="C3" s="12" t="s">
        <v>1468</v>
      </c>
      <c r="D3" s="13" t="s">
        <v>1469</v>
      </c>
    </row>
    <row r="4" s="2" customFormat="1" ht="27" customHeight="1" spans="1:4">
      <c r="A4" s="14"/>
      <c r="B4" s="15"/>
      <c r="C4" s="12" t="s">
        <v>1470</v>
      </c>
      <c r="D4" s="13" t="s">
        <v>1471</v>
      </c>
    </row>
    <row r="5" s="2" customFormat="1" ht="27" customHeight="1" spans="1:4">
      <c r="A5" s="14"/>
      <c r="B5" s="15"/>
      <c r="C5" s="12" t="s">
        <v>1472</v>
      </c>
      <c r="D5" s="13" t="s">
        <v>1473</v>
      </c>
    </row>
    <row r="6" s="2" customFormat="1" ht="27" customHeight="1" spans="1:4">
      <c r="A6" s="14"/>
      <c r="B6" s="15"/>
      <c r="C6" s="12" t="s">
        <v>1474</v>
      </c>
      <c r="D6" s="13" t="s">
        <v>1475</v>
      </c>
    </row>
    <row r="7" s="2" customFormat="1" ht="27" customHeight="1" spans="1:4">
      <c r="A7" s="14"/>
      <c r="B7" s="15"/>
      <c r="C7" s="12" t="s">
        <v>1476</v>
      </c>
      <c r="D7" s="13" t="s">
        <v>1477</v>
      </c>
    </row>
    <row r="8" s="2" customFormat="1" ht="27" customHeight="1" spans="1:4">
      <c r="A8" s="10">
        <v>2</v>
      </c>
      <c r="B8" s="11" t="s">
        <v>19</v>
      </c>
      <c r="C8" s="12" t="s">
        <v>1478</v>
      </c>
      <c r="D8" s="13" t="s">
        <v>1479</v>
      </c>
    </row>
    <row r="9" s="2" customFormat="1" ht="27" customHeight="1" spans="1:4">
      <c r="A9" s="14"/>
      <c r="B9" s="15"/>
      <c r="C9" s="12" t="s">
        <v>1480</v>
      </c>
      <c r="D9" s="13" t="s">
        <v>1481</v>
      </c>
    </row>
    <row r="10" s="2" customFormat="1" ht="27" customHeight="1" spans="1:4">
      <c r="A10" s="14"/>
      <c r="B10" s="15"/>
      <c r="C10" s="12" t="s">
        <v>1482</v>
      </c>
      <c r="D10" s="13" t="s">
        <v>1483</v>
      </c>
    </row>
    <row r="11" s="2" customFormat="1" ht="27" customHeight="1" spans="1:4">
      <c r="A11" s="14"/>
      <c r="B11" s="15"/>
      <c r="C11" s="12" t="s">
        <v>1484</v>
      </c>
      <c r="D11" s="13" t="s">
        <v>1485</v>
      </c>
    </row>
    <row r="12" s="2" customFormat="1" ht="27" customHeight="1" spans="1:4">
      <c r="A12" s="14"/>
      <c r="B12" s="15"/>
      <c r="C12" s="12" t="s">
        <v>1486</v>
      </c>
      <c r="D12" s="13" t="s">
        <v>1487</v>
      </c>
    </row>
    <row r="13" s="2" customFormat="1" ht="27" customHeight="1" spans="1:4">
      <c r="A13" s="14"/>
      <c r="B13" s="15"/>
      <c r="C13" s="12" t="s">
        <v>1488</v>
      </c>
      <c r="D13" s="13" t="s">
        <v>1489</v>
      </c>
    </row>
    <row r="14" s="2" customFormat="1" ht="27" customHeight="1" spans="1:4">
      <c r="A14" s="14"/>
      <c r="B14" s="15"/>
      <c r="C14" s="12" t="s">
        <v>1490</v>
      </c>
      <c r="D14" s="13" t="s">
        <v>1491</v>
      </c>
    </row>
    <row r="15" s="2" customFormat="1" ht="27" customHeight="1" spans="1:4">
      <c r="A15" s="14"/>
      <c r="B15" s="15"/>
      <c r="C15" s="12" t="s">
        <v>1492</v>
      </c>
      <c r="D15" s="13" t="s">
        <v>1493</v>
      </c>
    </row>
    <row r="16" s="2" customFormat="1" ht="27" customHeight="1" spans="1:4">
      <c r="A16" s="14"/>
      <c r="B16" s="15"/>
      <c r="C16" s="146" t="s">
        <v>1494</v>
      </c>
      <c r="D16" s="17" t="s">
        <v>1495</v>
      </c>
    </row>
    <row r="17" s="2" customFormat="1" ht="27" customHeight="1" spans="1:4">
      <c r="A17" s="14"/>
      <c r="B17" s="15"/>
      <c r="C17" s="12" t="s">
        <v>1496</v>
      </c>
      <c r="D17" s="13" t="s">
        <v>1497</v>
      </c>
    </row>
    <row r="18" s="2" customFormat="1" ht="27" customHeight="1" spans="1:4">
      <c r="A18" s="14"/>
      <c r="B18" s="15"/>
      <c r="C18" s="147" t="s">
        <v>1498</v>
      </c>
      <c r="D18" s="13" t="s">
        <v>1499</v>
      </c>
    </row>
    <row r="19" s="2" customFormat="1" ht="27" customHeight="1" spans="1:4">
      <c r="A19" s="18"/>
      <c r="B19" s="19"/>
      <c r="C19" s="12" t="s">
        <v>1500</v>
      </c>
      <c r="D19" s="13" t="s">
        <v>1501</v>
      </c>
    </row>
    <row r="20" s="2" customFormat="1" ht="27" customHeight="1" spans="1:4">
      <c r="A20" s="10">
        <v>3</v>
      </c>
      <c r="B20" s="11" t="s">
        <v>31</v>
      </c>
      <c r="C20" s="12" t="s">
        <v>1502</v>
      </c>
      <c r="D20" s="13" t="s">
        <v>1503</v>
      </c>
    </row>
    <row r="21" s="2" customFormat="1" ht="27" customHeight="1" spans="1:4">
      <c r="A21" s="18"/>
      <c r="B21" s="19"/>
      <c r="C21" s="12" t="s">
        <v>1504</v>
      </c>
      <c r="D21" s="13" t="s">
        <v>1505</v>
      </c>
    </row>
    <row r="22" s="2" customFormat="1" ht="27" customHeight="1" spans="1:4">
      <c r="A22" s="10">
        <v>4</v>
      </c>
      <c r="B22" s="11" t="s">
        <v>35</v>
      </c>
      <c r="C22" s="12" t="s">
        <v>1506</v>
      </c>
      <c r="D22" s="13" t="s">
        <v>1507</v>
      </c>
    </row>
    <row r="23" s="2" customFormat="1" ht="27" customHeight="1" spans="1:4">
      <c r="A23" s="14"/>
      <c r="B23" s="15"/>
      <c r="C23" s="12" t="s">
        <v>1508</v>
      </c>
      <c r="D23" s="13" t="s">
        <v>1509</v>
      </c>
    </row>
    <row r="24" s="2" customFormat="1" ht="27" customHeight="1" spans="1:4">
      <c r="A24" s="14"/>
      <c r="B24" s="15"/>
      <c r="C24" s="12" t="s">
        <v>1510</v>
      </c>
      <c r="D24" s="13" t="s">
        <v>1511</v>
      </c>
    </row>
    <row r="25" s="2" customFormat="1" ht="27" customHeight="1" spans="1:4">
      <c r="A25" s="18"/>
      <c r="B25" s="19"/>
      <c r="C25" s="12" t="s">
        <v>1512</v>
      </c>
      <c r="D25" s="13" t="s">
        <v>1513</v>
      </c>
    </row>
    <row r="26" s="2" customFormat="1" ht="27" customHeight="1" spans="1:4">
      <c r="A26" s="10">
        <v>5</v>
      </c>
      <c r="B26" s="11" t="s">
        <v>38</v>
      </c>
      <c r="C26" s="12" t="s">
        <v>1514</v>
      </c>
      <c r="D26" s="13" t="s">
        <v>1515</v>
      </c>
    </row>
    <row r="27" s="2" customFormat="1" ht="27" customHeight="1" spans="1:4">
      <c r="A27" s="14"/>
      <c r="B27" s="15"/>
      <c r="C27" s="12" t="s">
        <v>1516</v>
      </c>
      <c r="D27" s="13" t="s">
        <v>1517</v>
      </c>
    </row>
    <row r="28" s="2" customFormat="1" ht="27" customHeight="1" spans="1:4">
      <c r="A28" s="14"/>
      <c r="B28" s="15"/>
      <c r="C28" s="147" t="s">
        <v>1518</v>
      </c>
      <c r="D28" s="13" t="s">
        <v>1519</v>
      </c>
    </row>
    <row r="29" s="2" customFormat="1" ht="27" customHeight="1" spans="1:4">
      <c r="A29" s="18"/>
      <c r="B29" s="19"/>
      <c r="C29" s="12" t="s">
        <v>1520</v>
      </c>
      <c r="D29" s="13" t="s">
        <v>1521</v>
      </c>
    </row>
    <row r="30" s="2" customFormat="1" ht="27" customHeight="1" spans="1:4">
      <c r="A30" s="20">
        <v>6</v>
      </c>
      <c r="B30" s="21" t="s">
        <v>43</v>
      </c>
      <c r="C30" s="16"/>
      <c r="D30" s="16"/>
    </row>
    <row r="31" s="2" customFormat="1" ht="27" customHeight="1" spans="1:4">
      <c r="A31" s="20">
        <v>7</v>
      </c>
      <c r="B31" s="21" t="s">
        <v>46</v>
      </c>
      <c r="C31" s="12" t="s">
        <v>1522</v>
      </c>
      <c r="D31" s="13" t="s">
        <v>1523</v>
      </c>
    </row>
    <row r="32" s="2" customFormat="1" ht="27" customHeight="1" spans="1:4">
      <c r="A32" s="20">
        <v>8</v>
      </c>
      <c r="B32" s="21" t="s">
        <v>49</v>
      </c>
      <c r="C32" s="12" t="s">
        <v>1524</v>
      </c>
      <c r="D32" s="13" t="s">
        <v>1525</v>
      </c>
    </row>
    <row r="33" s="2" customFormat="1" ht="27" customHeight="1" spans="1:4">
      <c r="A33" s="20">
        <v>9</v>
      </c>
      <c r="B33" s="21" t="s">
        <v>52</v>
      </c>
      <c r="C33" s="12" t="s">
        <v>1526</v>
      </c>
      <c r="D33" s="13" t="s">
        <v>1527</v>
      </c>
    </row>
    <row r="34" s="2" customFormat="1" ht="27" customHeight="1" spans="1:4">
      <c r="A34" s="20">
        <v>10</v>
      </c>
      <c r="B34" s="21" t="s">
        <v>55</v>
      </c>
      <c r="C34" s="12" t="s">
        <v>1528</v>
      </c>
      <c r="D34" s="13" t="s">
        <v>1529</v>
      </c>
    </row>
    <row r="35" s="2" customFormat="1" ht="27" customHeight="1" spans="1:4">
      <c r="A35" s="20">
        <v>11</v>
      </c>
      <c r="B35" s="21" t="s">
        <v>59</v>
      </c>
      <c r="C35" s="16"/>
      <c r="D35" s="16"/>
    </row>
    <row r="36" s="2" customFormat="1" ht="27" customHeight="1" spans="1:4">
      <c r="A36" s="10">
        <v>12</v>
      </c>
      <c r="B36" s="11" t="s">
        <v>62</v>
      </c>
      <c r="C36" s="12" t="s">
        <v>1530</v>
      </c>
      <c r="D36" s="13" t="s">
        <v>1531</v>
      </c>
    </row>
    <row r="37" s="2" customFormat="1" ht="27" customHeight="1" spans="1:4">
      <c r="A37" s="18"/>
      <c r="B37" s="19"/>
      <c r="C37" s="12" t="s">
        <v>1532</v>
      </c>
      <c r="D37" s="13" t="s">
        <v>1533</v>
      </c>
    </row>
    <row r="38" s="2" customFormat="1" ht="27" customHeight="1" spans="1:4">
      <c r="A38" s="10">
        <v>13</v>
      </c>
      <c r="B38" s="11" t="s">
        <v>65</v>
      </c>
      <c r="C38" s="12" t="s">
        <v>1534</v>
      </c>
      <c r="D38" s="13" t="s">
        <v>1535</v>
      </c>
    </row>
    <row r="39" s="2" customFormat="1" ht="27" customHeight="1" spans="1:4">
      <c r="A39" s="14"/>
      <c r="B39" s="15"/>
      <c r="C39" s="12" t="s">
        <v>1536</v>
      </c>
      <c r="D39" s="13" t="s">
        <v>1537</v>
      </c>
    </row>
    <row r="40" s="2" customFormat="1" ht="27" customHeight="1" spans="1:4">
      <c r="A40" s="18"/>
      <c r="B40" s="19"/>
      <c r="C40" s="12" t="s">
        <v>1538</v>
      </c>
      <c r="D40" s="13" t="s">
        <v>1539</v>
      </c>
    </row>
    <row r="41" s="2" customFormat="1" ht="27" customHeight="1" spans="1:4">
      <c r="A41" s="10">
        <v>14</v>
      </c>
      <c r="B41" s="11" t="s">
        <v>68</v>
      </c>
      <c r="C41" s="12" t="s">
        <v>1540</v>
      </c>
      <c r="D41" s="13" t="s">
        <v>1541</v>
      </c>
    </row>
    <row r="42" s="2" customFormat="1" ht="27" customHeight="1" spans="1:4">
      <c r="A42" s="14"/>
      <c r="B42" s="15"/>
      <c r="C42" s="12" t="s">
        <v>1542</v>
      </c>
      <c r="D42" s="13" t="s">
        <v>1543</v>
      </c>
    </row>
    <row r="43" s="2" customFormat="1" ht="27" customHeight="1" spans="1:4">
      <c r="A43" s="14"/>
      <c r="B43" s="15"/>
      <c r="C43" s="12" t="s">
        <v>1544</v>
      </c>
      <c r="D43" s="13" t="s">
        <v>1545</v>
      </c>
    </row>
    <row r="44" s="2" customFormat="1" ht="27" customHeight="1" spans="1:4">
      <c r="A44" s="14"/>
      <c r="B44" s="15"/>
      <c r="C44" s="12" t="s">
        <v>1546</v>
      </c>
      <c r="D44" s="13" t="s">
        <v>1547</v>
      </c>
    </row>
    <row r="45" s="2" customFormat="1" ht="27" customHeight="1" spans="1:4">
      <c r="A45" s="18"/>
      <c r="B45" s="19"/>
      <c r="C45" s="12" t="s">
        <v>1548</v>
      </c>
      <c r="D45" s="13" t="s">
        <v>1549</v>
      </c>
    </row>
    <row r="46" s="2" customFormat="1" ht="27" customHeight="1" spans="1:4">
      <c r="A46" s="20">
        <v>15</v>
      </c>
      <c r="B46" s="21" t="s">
        <v>71</v>
      </c>
      <c r="C46" s="16"/>
      <c r="D46" s="16"/>
    </row>
    <row r="47" s="2" customFormat="1" ht="27" customHeight="1" spans="1:4">
      <c r="A47" s="10">
        <v>16</v>
      </c>
      <c r="B47" s="11" t="s">
        <v>74</v>
      </c>
      <c r="C47" s="12" t="s">
        <v>1550</v>
      </c>
      <c r="D47" s="13" t="s">
        <v>1551</v>
      </c>
    </row>
    <row r="48" s="2" customFormat="1" ht="27" customHeight="1" spans="1:4">
      <c r="A48" s="14"/>
      <c r="B48" s="15"/>
      <c r="C48" s="12" t="s">
        <v>1552</v>
      </c>
      <c r="D48" s="13" t="s">
        <v>1553</v>
      </c>
    </row>
    <row r="49" s="2" customFormat="1" ht="27" customHeight="1" spans="1:4">
      <c r="A49" s="14"/>
      <c r="B49" s="15"/>
      <c r="C49" s="12" t="s">
        <v>1554</v>
      </c>
      <c r="D49" s="13" t="s">
        <v>1555</v>
      </c>
    </row>
    <row r="50" s="2" customFormat="1" ht="27" customHeight="1" spans="1:4">
      <c r="A50" s="14"/>
      <c r="B50" s="15"/>
      <c r="C50" s="12" t="s">
        <v>1556</v>
      </c>
      <c r="D50" s="13" t="s">
        <v>1557</v>
      </c>
    </row>
    <row r="51" s="2" customFormat="1" ht="27" customHeight="1" spans="1:4">
      <c r="A51" s="18"/>
      <c r="B51" s="19"/>
      <c r="C51" s="12" t="s">
        <v>1558</v>
      </c>
      <c r="D51" s="13" t="s">
        <v>1559</v>
      </c>
    </row>
    <row r="52" s="2" customFormat="1" ht="27" customHeight="1" spans="1:4">
      <c r="A52" s="10">
        <v>17</v>
      </c>
      <c r="B52" s="11" t="s">
        <v>77</v>
      </c>
      <c r="C52" s="12" t="s">
        <v>1560</v>
      </c>
      <c r="D52" s="13" t="s">
        <v>1561</v>
      </c>
    </row>
    <row r="53" s="2" customFormat="1" ht="27" customHeight="1" spans="1:4">
      <c r="A53" s="14"/>
      <c r="B53" s="15"/>
      <c r="C53" s="12" t="s">
        <v>1562</v>
      </c>
      <c r="D53" s="13" t="s">
        <v>1563</v>
      </c>
    </row>
    <row r="54" s="2" customFormat="1" ht="27" customHeight="1" spans="1:4">
      <c r="A54" s="14"/>
      <c r="B54" s="15"/>
      <c r="C54" s="12" t="s">
        <v>1564</v>
      </c>
      <c r="D54" s="13" t="s">
        <v>1565</v>
      </c>
    </row>
    <row r="55" s="2" customFormat="1" ht="27" customHeight="1" spans="1:4">
      <c r="A55" s="14"/>
      <c r="B55" s="15"/>
      <c r="C55" s="12" t="s">
        <v>1566</v>
      </c>
      <c r="D55" s="13" t="s">
        <v>1567</v>
      </c>
    </row>
    <row r="56" s="2" customFormat="1" ht="27" customHeight="1" spans="1:4">
      <c r="A56" s="14"/>
      <c r="B56" s="15"/>
      <c r="C56" s="12" t="s">
        <v>1569</v>
      </c>
      <c r="D56" s="13" t="s">
        <v>1570</v>
      </c>
    </row>
    <row r="57" s="2" customFormat="1" ht="27" customHeight="1" spans="1:4">
      <c r="A57" s="14"/>
      <c r="B57" s="15"/>
      <c r="C57" s="12" t="s">
        <v>1571</v>
      </c>
      <c r="D57" s="13" t="s">
        <v>1572</v>
      </c>
    </row>
    <row r="58" s="2" customFormat="1" ht="27" customHeight="1" spans="1:4">
      <c r="A58" s="18"/>
      <c r="B58" s="19"/>
      <c r="C58" s="22" t="s">
        <v>1573</v>
      </c>
      <c r="D58" s="23" t="s">
        <v>1574</v>
      </c>
    </row>
    <row r="59" s="2" customFormat="1" ht="27" customHeight="1" spans="1:4">
      <c r="A59" s="20">
        <v>18</v>
      </c>
      <c r="B59" s="21" t="s">
        <v>82</v>
      </c>
      <c r="C59" s="12" t="s">
        <v>1577</v>
      </c>
      <c r="D59" s="13" t="s">
        <v>1578</v>
      </c>
    </row>
    <row r="60" s="2" customFormat="1" ht="27" customHeight="1" spans="1:4">
      <c r="A60" s="10">
        <v>19</v>
      </c>
      <c r="B60" s="11" t="s">
        <v>85</v>
      </c>
      <c r="C60" s="12" t="s">
        <v>1579</v>
      </c>
      <c r="D60" s="13" t="s">
        <v>1580</v>
      </c>
    </row>
    <row r="61" s="2" customFormat="1" ht="27" customHeight="1" spans="1:4">
      <c r="A61" s="14"/>
      <c r="B61" s="15"/>
      <c r="C61" s="12" t="s">
        <v>1581</v>
      </c>
      <c r="D61" s="13" t="s">
        <v>1582</v>
      </c>
    </row>
    <row r="62" s="2" customFormat="1" ht="27" customHeight="1" spans="1:4">
      <c r="A62" s="18"/>
      <c r="B62" s="19"/>
      <c r="C62" s="12" t="s">
        <v>1583</v>
      </c>
      <c r="D62" s="13" t="s">
        <v>1584</v>
      </c>
    </row>
    <row r="63" s="2" customFormat="1" ht="27" customHeight="1" spans="1:4">
      <c r="A63" s="24">
        <v>20</v>
      </c>
      <c r="B63" s="25" t="s">
        <v>91</v>
      </c>
      <c r="C63" s="12" t="s">
        <v>1585</v>
      </c>
      <c r="D63" s="26" t="s">
        <v>1586</v>
      </c>
    </row>
    <row r="64" s="2" customFormat="1" ht="27" customHeight="1" spans="1:4">
      <c r="A64" s="27"/>
      <c r="B64" s="28"/>
      <c r="C64" s="12" t="s">
        <v>1587</v>
      </c>
      <c r="D64" s="26" t="s">
        <v>1588</v>
      </c>
    </row>
    <row r="65" s="2" customFormat="1" ht="27" customHeight="1" spans="1:4">
      <c r="A65" s="27"/>
      <c r="B65" s="28"/>
      <c r="C65" s="148" t="s">
        <v>1589</v>
      </c>
      <c r="D65" s="26" t="s">
        <v>1590</v>
      </c>
    </row>
    <row r="66" s="2" customFormat="1" ht="27" customHeight="1" spans="1:4">
      <c r="A66" s="27"/>
      <c r="B66" s="28"/>
      <c r="C66" s="12" t="s">
        <v>1591</v>
      </c>
      <c r="D66" s="13" t="s">
        <v>1592</v>
      </c>
    </row>
    <row r="67" s="2" customFormat="1" ht="27" customHeight="1" spans="1:4">
      <c r="A67" s="29"/>
      <c r="B67" s="30"/>
      <c r="C67" s="12" t="s">
        <v>1593</v>
      </c>
      <c r="D67" s="26" t="s">
        <v>1594</v>
      </c>
    </row>
    <row r="68" s="2" customFormat="1" ht="27" customHeight="1" spans="1:4">
      <c r="A68" s="24">
        <v>21</v>
      </c>
      <c r="B68" s="25" t="s">
        <v>101</v>
      </c>
      <c r="C68" s="12" t="s">
        <v>1595</v>
      </c>
      <c r="D68" s="26" t="s">
        <v>1596</v>
      </c>
    </row>
    <row r="69" s="2" customFormat="1" ht="27" customHeight="1" spans="1:4">
      <c r="A69" s="27"/>
      <c r="B69" s="28"/>
      <c r="C69" s="12" t="s">
        <v>1597</v>
      </c>
      <c r="D69" s="26" t="s">
        <v>1598</v>
      </c>
    </row>
    <row r="70" s="2" customFormat="1" ht="27" customHeight="1" spans="1:4">
      <c r="A70" s="29"/>
      <c r="B70" s="30"/>
      <c r="C70" s="12" t="s">
        <v>1599</v>
      </c>
      <c r="D70" s="26" t="s">
        <v>1600</v>
      </c>
    </row>
    <row r="71" s="2" customFormat="1" ht="27" customHeight="1" spans="1:4">
      <c r="A71" s="24">
        <v>22</v>
      </c>
      <c r="B71" s="25" t="s">
        <v>105</v>
      </c>
      <c r="C71" s="21" t="s">
        <v>1601</v>
      </c>
      <c r="D71" s="31" t="s">
        <v>1602</v>
      </c>
    </row>
    <row r="72" s="2" customFormat="1" ht="27" customHeight="1" spans="1:4">
      <c r="A72" s="29"/>
      <c r="B72" s="30"/>
      <c r="C72" s="21" t="s">
        <v>1603</v>
      </c>
      <c r="D72" s="31" t="s">
        <v>1604</v>
      </c>
    </row>
    <row r="73" s="2" customFormat="1" ht="27" customHeight="1" spans="1:4">
      <c r="A73" s="32">
        <v>23</v>
      </c>
      <c r="B73" s="16" t="s">
        <v>109</v>
      </c>
      <c r="C73" s="16"/>
      <c r="D73" s="16"/>
    </row>
    <row r="74" s="2" customFormat="1" ht="27" customHeight="1" spans="1:4">
      <c r="A74" s="24">
        <v>24</v>
      </c>
      <c r="B74" s="25" t="s">
        <v>113</v>
      </c>
      <c r="C74" s="12" t="s">
        <v>1605</v>
      </c>
      <c r="D74" s="26" t="s">
        <v>1606</v>
      </c>
    </row>
    <row r="75" s="2" customFormat="1" ht="27" customHeight="1" spans="1:4">
      <c r="A75" s="27"/>
      <c r="B75" s="28"/>
      <c r="C75" s="12" t="s">
        <v>1607</v>
      </c>
      <c r="D75" s="26" t="s">
        <v>1608</v>
      </c>
    </row>
    <row r="76" s="2" customFormat="1" ht="27" customHeight="1" spans="1:4">
      <c r="A76" s="27"/>
      <c r="B76" s="28"/>
      <c r="C76" s="12" t="s">
        <v>1610</v>
      </c>
      <c r="D76" s="26" t="s">
        <v>1611</v>
      </c>
    </row>
    <row r="77" s="2" customFormat="1" ht="27" customHeight="1" spans="1:4">
      <c r="A77" s="27"/>
      <c r="B77" s="28"/>
      <c r="C77" s="12" t="s">
        <v>1612</v>
      </c>
      <c r="D77" s="26" t="s">
        <v>1613</v>
      </c>
    </row>
    <row r="78" s="2" customFormat="1" ht="27" customHeight="1" spans="1:4">
      <c r="A78" s="29"/>
      <c r="B78" s="30"/>
      <c r="C78" s="12" t="s">
        <v>1614</v>
      </c>
      <c r="D78" s="26" t="s">
        <v>1615</v>
      </c>
    </row>
    <row r="79" s="2" customFormat="1" ht="27" customHeight="1" spans="1:4">
      <c r="A79" s="24">
        <v>25</v>
      </c>
      <c r="B79" s="25" t="s">
        <v>120</v>
      </c>
      <c r="C79" s="12" t="s">
        <v>1616</v>
      </c>
      <c r="D79" s="26" t="s">
        <v>1617</v>
      </c>
    </row>
    <row r="80" s="2" customFormat="1" ht="27" customHeight="1" spans="1:4">
      <c r="A80" s="29"/>
      <c r="B80" s="30"/>
      <c r="C80" s="12" t="s">
        <v>1618</v>
      </c>
      <c r="D80" s="26" t="s">
        <v>1619</v>
      </c>
    </row>
    <row r="81" s="2" customFormat="1" ht="27" customHeight="1" spans="1:4">
      <c r="A81" s="32">
        <v>26</v>
      </c>
      <c r="B81" s="16" t="s">
        <v>126</v>
      </c>
      <c r="C81" s="16"/>
      <c r="D81" s="16"/>
    </row>
    <row r="82" s="2" customFormat="1" ht="27" customHeight="1" spans="1:4">
      <c r="A82" s="24">
        <v>27</v>
      </c>
      <c r="B82" s="25" t="s">
        <v>132</v>
      </c>
      <c r="C82" s="12" t="s">
        <v>1620</v>
      </c>
      <c r="D82" s="26" t="s">
        <v>1621</v>
      </c>
    </row>
    <row r="83" s="2" customFormat="1" ht="27" customHeight="1" spans="1:4">
      <c r="A83" s="27"/>
      <c r="B83" s="28"/>
      <c r="C83" s="12" t="s">
        <v>1622</v>
      </c>
      <c r="D83" s="26" t="s">
        <v>1623</v>
      </c>
    </row>
    <row r="84" s="2" customFormat="1" ht="27" customHeight="1" spans="1:4">
      <c r="A84" s="27"/>
      <c r="B84" s="28"/>
      <c r="C84" s="12" t="s">
        <v>1624</v>
      </c>
      <c r="D84" s="26" t="s">
        <v>1625</v>
      </c>
    </row>
    <row r="85" s="2" customFormat="1" ht="27" customHeight="1" spans="1:4">
      <c r="A85" s="27"/>
      <c r="B85" s="28"/>
      <c r="C85" s="12" t="s">
        <v>1626</v>
      </c>
      <c r="D85" s="26" t="s">
        <v>1627</v>
      </c>
    </row>
    <row r="86" s="2" customFormat="1" ht="27" customHeight="1" spans="1:4">
      <c r="A86" s="27"/>
      <c r="B86" s="28"/>
      <c r="C86" s="12" t="s">
        <v>1628</v>
      </c>
      <c r="D86" s="26" t="s">
        <v>1629</v>
      </c>
    </row>
    <row r="87" s="2" customFormat="1" ht="27" customHeight="1" spans="1:4">
      <c r="A87" s="29"/>
      <c r="B87" s="30"/>
      <c r="C87" s="12" t="s">
        <v>1630</v>
      </c>
      <c r="D87" s="26" t="s">
        <v>1631</v>
      </c>
    </row>
    <row r="88" s="2" customFormat="1" ht="27" customHeight="1" spans="1:4">
      <c r="A88" s="24">
        <v>28</v>
      </c>
      <c r="B88" s="25" t="s">
        <v>137</v>
      </c>
      <c r="C88" s="12" t="s">
        <v>1632</v>
      </c>
      <c r="D88" s="26" t="s">
        <v>1633</v>
      </c>
    </row>
    <row r="89" s="2" customFormat="1" ht="27" customHeight="1" spans="1:4">
      <c r="A89" s="29"/>
      <c r="B89" s="30"/>
      <c r="C89" s="12" t="s">
        <v>1634</v>
      </c>
      <c r="D89" s="26" t="s">
        <v>1635</v>
      </c>
    </row>
    <row r="90" s="2" customFormat="1" ht="27" customHeight="1" spans="1:4">
      <c r="A90" s="24">
        <v>29</v>
      </c>
      <c r="B90" s="25" t="s">
        <v>143</v>
      </c>
      <c r="C90" s="12" t="s">
        <v>1636</v>
      </c>
      <c r="D90" s="26" t="s">
        <v>1637</v>
      </c>
    </row>
    <row r="91" s="2" customFormat="1" ht="27" customHeight="1" spans="1:4">
      <c r="A91" s="29"/>
      <c r="B91" s="30"/>
      <c r="C91" s="12" t="s">
        <v>1638</v>
      </c>
      <c r="D91" s="26" t="s">
        <v>1639</v>
      </c>
    </row>
    <row r="92" s="2" customFormat="1" ht="27" customHeight="1" spans="1:4">
      <c r="A92" s="32">
        <v>30</v>
      </c>
      <c r="B92" s="16" t="s">
        <v>146</v>
      </c>
      <c r="C92" s="16"/>
      <c r="D92" s="16"/>
    </row>
    <row r="93" s="2" customFormat="1" ht="27" customHeight="1" spans="1:4">
      <c r="A93" s="32">
        <v>31</v>
      </c>
      <c r="B93" s="16" t="s">
        <v>149</v>
      </c>
      <c r="C93" s="16" t="s">
        <v>1640</v>
      </c>
      <c r="D93" s="16" t="s">
        <v>1641</v>
      </c>
    </row>
    <row r="94" s="2" customFormat="1" ht="27" customHeight="1" spans="1:4">
      <c r="A94" s="32">
        <v>32</v>
      </c>
      <c r="B94" s="16" t="s">
        <v>152</v>
      </c>
      <c r="C94" s="12" t="s">
        <v>1642</v>
      </c>
      <c r="D94" s="13" t="s">
        <v>1643</v>
      </c>
    </row>
    <row r="95" s="2" customFormat="1" ht="27" customHeight="1" spans="1:4">
      <c r="A95" s="32">
        <v>33</v>
      </c>
      <c r="B95" s="16" t="s">
        <v>157</v>
      </c>
      <c r="C95" s="12" t="s">
        <v>1644</v>
      </c>
      <c r="D95" s="13" t="s">
        <v>1645</v>
      </c>
    </row>
    <row r="96" s="2" customFormat="1" ht="27" customHeight="1" spans="1:4">
      <c r="A96" s="24">
        <v>34</v>
      </c>
      <c r="B96" s="25" t="s">
        <v>162</v>
      </c>
      <c r="C96" s="12" t="s">
        <v>1646</v>
      </c>
      <c r="D96" s="26" t="s">
        <v>1647</v>
      </c>
    </row>
    <row r="97" s="2" customFormat="1" ht="27" customHeight="1" spans="1:4">
      <c r="A97" s="27"/>
      <c r="B97" s="28"/>
      <c r="C97" s="12" t="s">
        <v>1649</v>
      </c>
      <c r="D97" s="26" t="s">
        <v>1650</v>
      </c>
    </row>
    <row r="98" s="2" customFormat="1" ht="27" customHeight="1" spans="1:4">
      <c r="A98" s="29"/>
      <c r="B98" s="30"/>
      <c r="C98" s="12" t="s">
        <v>1651</v>
      </c>
      <c r="D98" s="26" t="s">
        <v>1652</v>
      </c>
    </row>
    <row r="99" s="2" customFormat="1" ht="27" customHeight="1" spans="1:4">
      <c r="A99" s="24">
        <v>35</v>
      </c>
      <c r="B99" s="25" t="s">
        <v>171</v>
      </c>
      <c r="C99" s="148" t="s">
        <v>1646</v>
      </c>
      <c r="D99" s="26" t="s">
        <v>1647</v>
      </c>
    </row>
    <row r="100" s="2" customFormat="1" ht="27" customHeight="1" spans="1:4">
      <c r="A100" s="27"/>
      <c r="B100" s="28"/>
      <c r="C100" s="12" t="s">
        <v>1653</v>
      </c>
      <c r="D100" s="26" t="s">
        <v>1654</v>
      </c>
    </row>
    <row r="101" s="2" customFormat="1" ht="27" customHeight="1" spans="1:4">
      <c r="A101" s="29"/>
      <c r="B101" s="30"/>
      <c r="C101" s="12" t="s">
        <v>1655</v>
      </c>
      <c r="D101" s="26" t="s">
        <v>1656</v>
      </c>
    </row>
    <row r="102" s="2" customFormat="1" ht="27" customHeight="1" spans="1:4">
      <c r="A102" s="32">
        <v>36</v>
      </c>
      <c r="B102" s="16" t="s">
        <v>182</v>
      </c>
      <c r="C102" s="21" t="s">
        <v>1657</v>
      </c>
      <c r="D102" s="33" t="s">
        <v>1658</v>
      </c>
    </row>
    <row r="103" s="2" customFormat="1" ht="27" customHeight="1" spans="1:4">
      <c r="A103" s="32">
        <v>37</v>
      </c>
      <c r="B103" s="16" t="s">
        <v>191</v>
      </c>
      <c r="C103" s="16"/>
      <c r="D103" s="16"/>
    </row>
    <row r="104" s="2" customFormat="1" ht="27" customHeight="1" spans="1:4">
      <c r="A104" s="24">
        <v>38</v>
      </c>
      <c r="B104" s="25" t="s">
        <v>199</v>
      </c>
      <c r="C104" s="148" t="s">
        <v>1659</v>
      </c>
      <c r="D104" s="26" t="s">
        <v>1660</v>
      </c>
    </row>
    <row r="105" s="2" customFormat="1" ht="27" customHeight="1" spans="1:4">
      <c r="A105" s="27"/>
      <c r="B105" s="28"/>
      <c r="C105" s="12" t="s">
        <v>1661</v>
      </c>
      <c r="D105" s="26" t="s">
        <v>1662</v>
      </c>
    </row>
    <row r="106" s="2" customFormat="1" ht="27" customHeight="1" spans="1:4">
      <c r="A106" s="27"/>
      <c r="B106" s="28"/>
      <c r="C106" s="12" t="s">
        <v>1663</v>
      </c>
      <c r="D106" s="26" t="s">
        <v>1664</v>
      </c>
    </row>
    <row r="107" s="2" customFormat="1" ht="27" customHeight="1" spans="1:4">
      <c r="A107" s="29"/>
      <c r="B107" s="30"/>
      <c r="C107" s="12" t="s">
        <v>1665</v>
      </c>
      <c r="D107" s="13" t="s">
        <v>1666</v>
      </c>
    </row>
    <row r="108" s="2" customFormat="1" ht="27" customHeight="1" spans="1:4">
      <c r="A108" s="32">
        <v>39</v>
      </c>
      <c r="B108" s="16" t="s">
        <v>205</v>
      </c>
      <c r="C108" s="16"/>
      <c r="D108" s="16"/>
    </row>
    <row r="109" s="2" customFormat="1" ht="27" customHeight="1" spans="1:4">
      <c r="A109" s="32">
        <v>40</v>
      </c>
      <c r="B109" s="16" t="s">
        <v>211</v>
      </c>
      <c r="C109" s="16"/>
      <c r="D109" s="16"/>
    </row>
    <row r="110" s="2" customFormat="1" ht="27" customHeight="1" spans="1:4">
      <c r="A110" s="32">
        <v>41</v>
      </c>
      <c r="B110" s="16" t="s">
        <v>216</v>
      </c>
      <c r="C110" s="12" t="s">
        <v>1669</v>
      </c>
      <c r="D110" s="26" t="s">
        <v>1670</v>
      </c>
    </row>
    <row r="111" s="2" customFormat="1" ht="27" customHeight="1" spans="1:4">
      <c r="A111" s="24">
        <v>42</v>
      </c>
      <c r="B111" s="25" t="s">
        <v>222</v>
      </c>
      <c r="C111" s="12" t="s">
        <v>1671</v>
      </c>
      <c r="D111" s="13" t="s">
        <v>1672</v>
      </c>
    </row>
    <row r="112" s="2" customFormat="1" ht="27" customHeight="1" spans="1:4">
      <c r="A112" s="27"/>
      <c r="B112" s="28"/>
      <c r="C112" s="12" t="s">
        <v>1673</v>
      </c>
      <c r="D112" s="26" t="s">
        <v>1674</v>
      </c>
    </row>
    <row r="113" s="2" customFormat="1" ht="27" customHeight="1" spans="1:4">
      <c r="A113" s="29"/>
      <c r="B113" s="30"/>
      <c r="C113" s="148" t="s">
        <v>1675</v>
      </c>
      <c r="D113" s="26" t="s">
        <v>1676</v>
      </c>
    </row>
    <row r="114" s="2" customFormat="1" ht="27" customHeight="1" spans="1:4">
      <c r="A114" s="24">
        <v>43</v>
      </c>
      <c r="B114" s="25" t="s">
        <v>228</v>
      </c>
      <c r="C114" s="12" t="s">
        <v>1671</v>
      </c>
      <c r="D114" s="13" t="s">
        <v>1672</v>
      </c>
    </row>
    <row r="115" s="2" customFormat="1" ht="27" customHeight="1" spans="1:4">
      <c r="A115" s="27"/>
      <c r="B115" s="28"/>
      <c r="C115" s="12" t="s">
        <v>1673</v>
      </c>
      <c r="D115" s="26" t="s">
        <v>1674</v>
      </c>
    </row>
    <row r="116" s="2" customFormat="1" ht="27" customHeight="1" spans="1:4">
      <c r="A116" s="29"/>
      <c r="B116" s="30"/>
      <c r="C116" s="148" t="s">
        <v>1675</v>
      </c>
      <c r="D116" s="26" t="s">
        <v>1676</v>
      </c>
    </row>
    <row r="117" s="2" customFormat="1" ht="27" customHeight="1" spans="1:4">
      <c r="A117" s="32">
        <v>44</v>
      </c>
      <c r="B117" s="16" t="s">
        <v>234</v>
      </c>
      <c r="C117" s="16"/>
      <c r="D117" s="16"/>
    </row>
    <row r="118" s="2" customFormat="1" ht="27" customHeight="1" spans="1:4">
      <c r="A118" s="32">
        <v>45</v>
      </c>
      <c r="B118" s="16" t="s">
        <v>239</v>
      </c>
      <c r="C118" s="16"/>
      <c r="D118" s="16"/>
    </row>
    <row r="119" s="2" customFormat="1" ht="27" customHeight="1" spans="1:4">
      <c r="A119" s="32">
        <v>46</v>
      </c>
      <c r="B119" s="16" t="s">
        <v>244</v>
      </c>
      <c r="C119" s="12" t="s">
        <v>1677</v>
      </c>
      <c r="D119" s="13" t="s">
        <v>1678</v>
      </c>
    </row>
    <row r="120" s="2" customFormat="1" ht="27" customHeight="1" spans="1:4">
      <c r="A120" s="32">
        <v>47</v>
      </c>
      <c r="B120" s="16" t="s">
        <v>249</v>
      </c>
      <c r="C120" s="12" t="s">
        <v>1679</v>
      </c>
      <c r="D120" s="13" t="s">
        <v>1680</v>
      </c>
    </row>
    <row r="121" s="2" customFormat="1" ht="27" customHeight="1" spans="1:4">
      <c r="A121" s="32">
        <v>48</v>
      </c>
      <c r="B121" s="16" t="s">
        <v>254</v>
      </c>
      <c r="C121" s="12" t="s">
        <v>1681</v>
      </c>
      <c r="D121" s="13" t="s">
        <v>1682</v>
      </c>
    </row>
    <row r="122" s="2" customFormat="1" ht="27" customHeight="1" spans="1:4">
      <c r="A122" s="24">
        <v>49</v>
      </c>
      <c r="B122" s="25" t="s">
        <v>259</v>
      </c>
      <c r="C122" s="12" t="s">
        <v>1683</v>
      </c>
      <c r="D122" s="13" t="s">
        <v>1684</v>
      </c>
    </row>
    <row r="123" s="2" customFormat="1" ht="27" customHeight="1" spans="1:4">
      <c r="A123" s="27"/>
      <c r="B123" s="28"/>
      <c r="C123" s="12" t="s">
        <v>1685</v>
      </c>
      <c r="D123" s="13" t="s">
        <v>1686</v>
      </c>
    </row>
    <row r="124" s="2" customFormat="1" ht="27" customHeight="1" spans="1:4">
      <c r="A124" s="27"/>
      <c r="B124" s="28"/>
      <c r="C124" s="148" t="s">
        <v>1687</v>
      </c>
      <c r="D124" s="13" t="s">
        <v>1688</v>
      </c>
    </row>
    <row r="125" s="2" customFormat="1" ht="27" customHeight="1" spans="1:4">
      <c r="A125" s="29"/>
      <c r="B125" s="30"/>
      <c r="C125" s="12" t="s">
        <v>1689</v>
      </c>
      <c r="D125" s="13" t="s">
        <v>1690</v>
      </c>
    </row>
    <row r="126" s="2" customFormat="1" ht="27" customHeight="1" spans="1:4">
      <c r="A126" s="32">
        <v>50</v>
      </c>
      <c r="B126" s="34" t="s">
        <v>270</v>
      </c>
      <c r="C126" s="16"/>
      <c r="D126" s="16"/>
    </row>
    <row r="127" s="2" customFormat="1" ht="27" customHeight="1" spans="1:4">
      <c r="A127" s="32">
        <v>51</v>
      </c>
      <c r="B127" s="34" t="s">
        <v>283</v>
      </c>
      <c r="C127" s="148" t="s">
        <v>1691</v>
      </c>
      <c r="D127" s="13" t="s">
        <v>1692</v>
      </c>
    </row>
    <row r="128" s="2" customFormat="1" ht="27" customHeight="1" spans="1:4">
      <c r="A128" s="32">
        <v>52</v>
      </c>
      <c r="B128" s="34" t="s">
        <v>293</v>
      </c>
      <c r="C128" s="148" t="s">
        <v>1691</v>
      </c>
      <c r="D128" s="17" t="s">
        <v>1693</v>
      </c>
    </row>
    <row r="129" s="2" customFormat="1" ht="27" customHeight="1" spans="1:4">
      <c r="A129" s="32">
        <v>53</v>
      </c>
      <c r="B129" s="16" t="s">
        <v>304</v>
      </c>
      <c r="C129" s="16"/>
      <c r="D129" s="16"/>
    </row>
    <row r="130" s="2" customFormat="1" ht="27" customHeight="1" spans="1:4">
      <c r="A130" s="32">
        <v>54</v>
      </c>
      <c r="B130" s="16" t="s">
        <v>309</v>
      </c>
      <c r="C130" s="12" t="s">
        <v>1694</v>
      </c>
      <c r="D130" s="13" t="s">
        <v>1695</v>
      </c>
    </row>
    <row r="131" s="2" customFormat="1" ht="27" customHeight="1" spans="1:4">
      <c r="A131" s="32">
        <v>55</v>
      </c>
      <c r="B131" s="16" t="s">
        <v>314</v>
      </c>
      <c r="C131" s="16"/>
      <c r="D131" s="16"/>
    </row>
    <row r="132" s="2" customFormat="1" ht="27" customHeight="1" spans="1:4">
      <c r="A132" s="32">
        <v>56</v>
      </c>
      <c r="B132" s="34" t="s">
        <v>320</v>
      </c>
      <c r="C132" s="12" t="s">
        <v>1696</v>
      </c>
      <c r="D132" s="13" t="s">
        <v>1697</v>
      </c>
    </row>
    <row r="133" s="2" customFormat="1" ht="27" customHeight="1" spans="1:4">
      <c r="A133" s="24">
        <v>57</v>
      </c>
      <c r="B133" s="25" t="s">
        <v>323</v>
      </c>
      <c r="C133" s="12" t="s">
        <v>1698</v>
      </c>
      <c r="D133" s="26" t="s">
        <v>1699</v>
      </c>
    </row>
    <row r="134" s="2" customFormat="1" ht="27" customHeight="1" spans="1:4">
      <c r="A134" s="29"/>
      <c r="B134" s="30"/>
      <c r="C134" s="12" t="s">
        <v>1701</v>
      </c>
      <c r="D134" s="26" t="s">
        <v>1702</v>
      </c>
    </row>
    <row r="135" s="2" customFormat="1" ht="27" customHeight="1" spans="1:4">
      <c r="A135" s="20">
        <v>58</v>
      </c>
      <c r="B135" s="35" t="s">
        <v>331</v>
      </c>
      <c r="C135" s="33" t="s">
        <v>1704</v>
      </c>
      <c r="D135" s="33" t="s">
        <v>1705</v>
      </c>
    </row>
    <row r="136" s="2" customFormat="1" ht="27" customHeight="1" spans="1:4">
      <c r="A136" s="10">
        <v>59</v>
      </c>
      <c r="B136" s="35" t="s">
        <v>337</v>
      </c>
      <c r="C136" s="16"/>
      <c r="D136" s="16"/>
    </row>
    <row r="137" s="2" customFormat="1" ht="27" customHeight="1" spans="1:4">
      <c r="A137" s="20">
        <v>60</v>
      </c>
      <c r="B137" s="35" t="s">
        <v>345</v>
      </c>
      <c r="C137" s="16"/>
      <c r="D137" s="16"/>
    </row>
    <row r="138" s="2" customFormat="1" ht="27" customHeight="1" spans="1:4">
      <c r="A138" s="24">
        <v>61</v>
      </c>
      <c r="B138" s="25" t="s">
        <v>352</v>
      </c>
      <c r="C138" s="36" t="s">
        <v>1706</v>
      </c>
      <c r="D138" s="37" t="s">
        <v>1707</v>
      </c>
    </row>
    <row r="139" s="2" customFormat="1" ht="27" customHeight="1" spans="1:4">
      <c r="A139" s="29"/>
      <c r="B139" s="30"/>
      <c r="C139" s="12" t="s">
        <v>1708</v>
      </c>
      <c r="D139" s="26" t="s">
        <v>1709</v>
      </c>
    </row>
    <row r="140" s="2" customFormat="1" ht="27" customHeight="1" spans="1:4">
      <c r="A140" s="20">
        <v>62</v>
      </c>
      <c r="B140" s="21" t="s">
        <v>357</v>
      </c>
      <c r="C140" s="16"/>
      <c r="D140" s="16"/>
    </row>
    <row r="141" s="2" customFormat="1" ht="27" customHeight="1" spans="1:4">
      <c r="A141" s="24">
        <v>63</v>
      </c>
      <c r="B141" s="25" t="s">
        <v>364</v>
      </c>
      <c r="C141" s="26" t="s">
        <v>1710</v>
      </c>
      <c r="D141" s="26" t="s">
        <v>1711</v>
      </c>
    </row>
    <row r="142" s="2" customFormat="1" ht="27" customHeight="1" spans="1:4">
      <c r="A142" s="29"/>
      <c r="B142" s="30"/>
      <c r="C142" s="148" t="s">
        <v>1712</v>
      </c>
      <c r="D142" s="26" t="s">
        <v>1713</v>
      </c>
    </row>
    <row r="143" s="2" customFormat="1" ht="27" customHeight="1" spans="1:4">
      <c r="A143" s="20">
        <v>64</v>
      </c>
      <c r="B143" s="21" t="s">
        <v>371</v>
      </c>
      <c r="C143" s="12"/>
      <c r="D143" s="26"/>
    </row>
    <row r="144" s="2" customFormat="1" ht="27" customHeight="1" spans="1:4">
      <c r="A144" s="32">
        <v>65</v>
      </c>
      <c r="B144" s="16" t="s">
        <v>377</v>
      </c>
      <c r="C144" s="16" t="s">
        <v>1714</v>
      </c>
      <c r="D144" s="16" t="s">
        <v>1715</v>
      </c>
    </row>
    <row r="145" s="2" customFormat="1" ht="27" customHeight="1" spans="1:4">
      <c r="A145" s="24">
        <v>66</v>
      </c>
      <c r="B145" s="25" t="s">
        <v>380</v>
      </c>
      <c r="C145" s="148" t="s">
        <v>1716</v>
      </c>
      <c r="D145" s="26" t="s">
        <v>1717</v>
      </c>
    </row>
    <row r="146" s="2" customFormat="1" ht="27" customHeight="1" spans="1:4">
      <c r="A146" s="27"/>
      <c r="B146" s="28"/>
      <c r="C146" s="148" t="s">
        <v>1719</v>
      </c>
      <c r="D146" s="26" t="s">
        <v>1720</v>
      </c>
    </row>
    <row r="147" s="2" customFormat="1" ht="27" customHeight="1" spans="1:4">
      <c r="A147" s="27"/>
      <c r="B147" s="28"/>
      <c r="C147" s="148" t="s">
        <v>1721</v>
      </c>
      <c r="D147" s="26" t="s">
        <v>1722</v>
      </c>
    </row>
    <row r="148" s="2" customFormat="1" ht="27" customHeight="1" spans="1:4">
      <c r="A148" s="27"/>
      <c r="B148" s="28"/>
      <c r="C148" s="148" t="s">
        <v>1723</v>
      </c>
      <c r="D148" s="26" t="s">
        <v>1724</v>
      </c>
    </row>
    <row r="149" s="2" customFormat="1" ht="27" customHeight="1" spans="1:4">
      <c r="A149" s="27"/>
      <c r="B149" s="28"/>
      <c r="C149" s="148" t="s">
        <v>1725</v>
      </c>
      <c r="D149" s="26" t="s">
        <v>1726</v>
      </c>
    </row>
    <row r="150" s="2" customFormat="1" ht="27" customHeight="1" spans="1:4">
      <c r="A150" s="27"/>
      <c r="B150" s="28"/>
      <c r="C150" s="148" t="s">
        <v>1727</v>
      </c>
      <c r="D150" s="26" t="s">
        <v>1728</v>
      </c>
    </row>
    <row r="151" s="2" customFormat="1" ht="27" customHeight="1" spans="1:4">
      <c r="A151" s="27"/>
      <c r="B151" s="28"/>
      <c r="C151" s="12" t="s">
        <v>1729</v>
      </c>
      <c r="D151" s="26" t="s">
        <v>1730</v>
      </c>
    </row>
    <row r="152" s="2" customFormat="1" ht="27" customHeight="1" spans="1:4">
      <c r="A152" s="27"/>
      <c r="B152" s="28"/>
      <c r="C152" s="12" t="s">
        <v>1731</v>
      </c>
      <c r="D152" s="26" t="s">
        <v>1732</v>
      </c>
    </row>
    <row r="153" s="2" customFormat="1" ht="27" customHeight="1" spans="1:4">
      <c r="A153" s="27"/>
      <c r="B153" s="28"/>
      <c r="C153" s="12" t="s">
        <v>1733</v>
      </c>
      <c r="D153" s="26" t="s">
        <v>1734</v>
      </c>
    </row>
    <row r="154" s="2" customFormat="1" ht="27" customHeight="1" spans="1:4">
      <c r="A154" s="27"/>
      <c r="B154" s="28"/>
      <c r="C154" s="36" t="s">
        <v>1735</v>
      </c>
      <c r="D154" s="37" t="s">
        <v>1736</v>
      </c>
    </row>
    <row r="155" s="2" customFormat="1" ht="27" customHeight="1" spans="1:4">
      <c r="A155" s="27"/>
      <c r="B155" s="28"/>
      <c r="C155" s="12"/>
      <c r="D155" s="26" t="s">
        <v>1713</v>
      </c>
    </row>
    <row r="156" s="2" customFormat="1" ht="27" customHeight="1" spans="1:4">
      <c r="A156" s="27"/>
      <c r="B156" s="28"/>
      <c r="C156" s="12" t="s">
        <v>1737</v>
      </c>
      <c r="D156" s="26" t="s">
        <v>1738</v>
      </c>
    </row>
    <row r="157" s="2" customFormat="1" ht="27" customHeight="1" spans="1:4">
      <c r="A157" s="27"/>
      <c r="B157" s="28"/>
      <c r="C157" s="12" t="s">
        <v>1739</v>
      </c>
      <c r="D157" s="26" t="s">
        <v>1740</v>
      </c>
    </row>
    <row r="158" s="2" customFormat="1" ht="27" customHeight="1" spans="1:4">
      <c r="A158" s="29"/>
      <c r="B158" s="30"/>
      <c r="C158" s="12" t="s">
        <v>1741</v>
      </c>
      <c r="D158" s="26" t="s">
        <v>1742</v>
      </c>
    </row>
    <row r="159" s="2" customFormat="1" ht="27" customHeight="1" spans="1:4">
      <c r="A159" s="24">
        <v>67</v>
      </c>
      <c r="B159" s="16" t="s">
        <v>393</v>
      </c>
      <c r="C159" s="16"/>
      <c r="D159" s="16"/>
    </row>
    <row r="160" s="2" customFormat="1" ht="27" customHeight="1" spans="1:4">
      <c r="A160" s="24">
        <v>68</v>
      </c>
      <c r="B160" s="21" t="s">
        <v>398</v>
      </c>
      <c r="C160" s="16"/>
      <c r="D160" s="16"/>
    </row>
    <row r="161" s="2" customFormat="1" ht="27" customHeight="1" spans="1:4">
      <c r="A161" s="32">
        <v>69</v>
      </c>
      <c r="B161" s="16" t="s">
        <v>404</v>
      </c>
      <c r="C161" s="12" t="s">
        <v>1743</v>
      </c>
      <c r="D161" s="26" t="s">
        <v>1744</v>
      </c>
    </row>
    <row r="162" s="2" customFormat="1" ht="27" customHeight="1" spans="1:4">
      <c r="A162" s="10">
        <v>70</v>
      </c>
      <c r="B162" s="11" t="s">
        <v>413</v>
      </c>
      <c r="C162" s="12" t="s">
        <v>1745</v>
      </c>
      <c r="D162" s="26" t="s">
        <v>1746</v>
      </c>
    </row>
    <row r="163" s="2" customFormat="1" ht="27" customHeight="1" spans="1:4">
      <c r="A163" s="18"/>
      <c r="B163" s="19"/>
      <c r="C163" s="12" t="s">
        <v>1747</v>
      </c>
      <c r="D163" s="26" t="s">
        <v>1748</v>
      </c>
    </row>
    <row r="164" s="2" customFormat="1" ht="27" customHeight="1" spans="1:4">
      <c r="A164" s="10">
        <v>71</v>
      </c>
      <c r="B164" s="11" t="s">
        <v>418</v>
      </c>
      <c r="C164" s="12" t="s">
        <v>1749</v>
      </c>
      <c r="D164" s="26" t="s">
        <v>1750</v>
      </c>
    </row>
    <row r="165" s="2" customFormat="1" ht="27" customHeight="1" spans="1:4">
      <c r="A165" s="18"/>
      <c r="B165" s="19"/>
      <c r="C165" s="12" t="s">
        <v>1751</v>
      </c>
      <c r="D165" s="26" t="s">
        <v>1752</v>
      </c>
    </row>
    <row r="166" s="2" customFormat="1" ht="27" customHeight="1" spans="1:4">
      <c r="A166" s="10">
        <v>72</v>
      </c>
      <c r="B166" s="11" t="s">
        <v>423</v>
      </c>
      <c r="C166" s="12" t="s">
        <v>1753</v>
      </c>
      <c r="D166" s="26" t="s">
        <v>1754</v>
      </c>
    </row>
    <row r="167" s="2" customFormat="1" ht="27" customHeight="1" spans="1:4">
      <c r="A167" s="18"/>
      <c r="B167" s="19"/>
      <c r="C167" s="12" t="s">
        <v>1757</v>
      </c>
      <c r="D167" s="26" t="s">
        <v>1758</v>
      </c>
    </row>
    <row r="168" s="2" customFormat="1" ht="27" customHeight="1" spans="1:4">
      <c r="A168" s="20">
        <v>73</v>
      </c>
      <c r="B168" s="21" t="s">
        <v>429</v>
      </c>
      <c r="C168" s="12" t="s">
        <v>1759</v>
      </c>
      <c r="D168" s="26" t="s">
        <v>1760</v>
      </c>
    </row>
    <row r="169" s="2" customFormat="1" ht="27" customHeight="1" spans="1:4">
      <c r="A169" s="10">
        <v>74</v>
      </c>
      <c r="B169" s="11" t="s">
        <v>436</v>
      </c>
      <c r="C169" s="12" t="s">
        <v>1761</v>
      </c>
      <c r="D169" s="26" t="s">
        <v>1762</v>
      </c>
    </row>
    <row r="170" s="2" customFormat="1" ht="27" customHeight="1" spans="1:4">
      <c r="A170" s="14"/>
      <c r="B170" s="15"/>
      <c r="C170" s="12" t="s">
        <v>1763</v>
      </c>
      <c r="D170" s="26" t="s">
        <v>1764</v>
      </c>
    </row>
    <row r="171" s="2" customFormat="1" ht="27" customHeight="1" spans="1:4">
      <c r="A171" s="18"/>
      <c r="B171" s="19"/>
      <c r="C171" s="12" t="s">
        <v>1765</v>
      </c>
      <c r="D171" s="26" t="s">
        <v>1766</v>
      </c>
    </row>
    <row r="172" s="2" customFormat="1" ht="27" customHeight="1" spans="1:4">
      <c r="A172" s="10">
        <v>75</v>
      </c>
      <c r="B172" s="11" t="s">
        <v>443</v>
      </c>
      <c r="C172" s="12" t="s">
        <v>1767</v>
      </c>
      <c r="D172" s="26" t="s">
        <v>1768</v>
      </c>
    </row>
    <row r="173" s="2" customFormat="1" ht="27" customHeight="1" spans="1:4">
      <c r="A173" s="18"/>
      <c r="B173" s="19"/>
      <c r="C173" s="12" t="s">
        <v>1769</v>
      </c>
      <c r="D173" s="26" t="s">
        <v>1770</v>
      </c>
    </row>
    <row r="174" s="2" customFormat="1" ht="27" customHeight="1" spans="1:4">
      <c r="A174" s="20">
        <v>76</v>
      </c>
      <c r="B174" s="21" t="s">
        <v>448</v>
      </c>
      <c r="C174" s="12" t="s">
        <v>1771</v>
      </c>
      <c r="D174" s="26" t="s">
        <v>1772</v>
      </c>
    </row>
    <row r="175" s="2" customFormat="1" ht="27" customHeight="1" spans="1:4">
      <c r="A175" s="20">
        <v>77</v>
      </c>
      <c r="B175" s="21" t="s">
        <v>453</v>
      </c>
      <c r="C175" s="12" t="s">
        <v>1773</v>
      </c>
      <c r="D175" s="26" t="s">
        <v>1774</v>
      </c>
    </row>
    <row r="176" s="2" customFormat="1" ht="27" customHeight="1" spans="1:4">
      <c r="A176" s="20">
        <v>78</v>
      </c>
      <c r="B176" s="21" t="s">
        <v>459</v>
      </c>
      <c r="C176" s="12" t="s">
        <v>1775</v>
      </c>
      <c r="D176" s="26" t="s">
        <v>1776</v>
      </c>
    </row>
    <row r="177" s="2" customFormat="1" ht="27" customHeight="1" spans="1:4">
      <c r="A177" s="20">
        <v>79</v>
      </c>
      <c r="B177" s="21" t="s">
        <v>464</v>
      </c>
      <c r="C177" s="12" t="s">
        <v>1777</v>
      </c>
      <c r="D177" s="26" t="s">
        <v>1778</v>
      </c>
    </row>
    <row r="178" s="2" customFormat="1" ht="27" customHeight="1" spans="1:4">
      <c r="A178" s="10">
        <v>80</v>
      </c>
      <c r="B178" s="11" t="s">
        <v>471</v>
      </c>
      <c r="C178" s="12" t="s">
        <v>1779</v>
      </c>
      <c r="D178" s="26" t="s">
        <v>1780</v>
      </c>
    </row>
    <row r="179" s="2" customFormat="1" ht="27" customHeight="1" spans="1:4">
      <c r="A179" s="14"/>
      <c r="B179" s="15"/>
      <c r="C179" s="12" t="s">
        <v>1781</v>
      </c>
      <c r="D179" s="26" t="s">
        <v>1782</v>
      </c>
    </row>
    <row r="180" s="2" customFormat="1" ht="27" customHeight="1" spans="1:4">
      <c r="A180" s="14"/>
      <c r="B180" s="15"/>
      <c r="C180" s="12" t="s">
        <v>1783</v>
      </c>
      <c r="D180" s="26" t="s">
        <v>1784</v>
      </c>
    </row>
    <row r="181" s="2" customFormat="1" ht="27" customHeight="1" spans="1:4">
      <c r="A181" s="18"/>
      <c r="B181" s="19"/>
      <c r="C181" s="12" t="s">
        <v>1785</v>
      </c>
      <c r="D181" s="26" t="s">
        <v>1786</v>
      </c>
    </row>
    <row r="182" s="2" customFormat="1" ht="27" customHeight="1" spans="1:4">
      <c r="A182" s="10">
        <v>81</v>
      </c>
      <c r="B182" s="11" t="s">
        <v>478</v>
      </c>
      <c r="C182" s="12" t="s">
        <v>1787</v>
      </c>
      <c r="D182" s="26" t="s">
        <v>1788</v>
      </c>
    </row>
    <row r="183" s="2" customFormat="1" ht="27" customHeight="1" spans="1:4">
      <c r="A183" s="14"/>
      <c r="B183" s="15"/>
      <c r="C183" s="12" t="s">
        <v>1789</v>
      </c>
      <c r="D183" s="26" t="s">
        <v>1790</v>
      </c>
    </row>
    <row r="184" s="2" customFormat="1" ht="27" customHeight="1" spans="1:4">
      <c r="A184" s="14"/>
      <c r="B184" s="15"/>
      <c r="C184" s="12" t="s">
        <v>1791</v>
      </c>
      <c r="D184" s="26" t="s">
        <v>1792</v>
      </c>
    </row>
    <row r="185" s="2" customFormat="1" ht="27" customHeight="1" spans="1:4">
      <c r="A185" s="14"/>
      <c r="B185" s="15"/>
      <c r="C185" s="12" t="s">
        <v>1793</v>
      </c>
      <c r="D185" s="26" t="s">
        <v>1794</v>
      </c>
    </row>
    <row r="186" s="2" customFormat="1" ht="27" customHeight="1" spans="1:4">
      <c r="A186" s="14"/>
      <c r="B186" s="15"/>
      <c r="C186" s="148" t="s">
        <v>1795</v>
      </c>
      <c r="D186" s="26" t="s">
        <v>1796</v>
      </c>
    </row>
    <row r="187" s="2" customFormat="1" ht="27" customHeight="1" spans="1:4">
      <c r="A187" s="18"/>
      <c r="B187" s="19"/>
      <c r="C187" s="12" t="s">
        <v>1797</v>
      </c>
      <c r="D187" s="26" t="s">
        <v>1798</v>
      </c>
    </row>
    <row r="188" s="2" customFormat="1" ht="27" customHeight="1" spans="1:4">
      <c r="A188" s="10">
        <v>82</v>
      </c>
      <c r="B188" s="11" t="s">
        <v>484</v>
      </c>
      <c r="C188" s="12" t="s">
        <v>1799</v>
      </c>
      <c r="D188" s="26" t="s">
        <v>1800</v>
      </c>
    </row>
    <row r="189" s="2" customFormat="1" ht="27" customHeight="1" spans="1:4">
      <c r="A189" s="18"/>
      <c r="B189" s="19"/>
      <c r="C189" s="12" t="s">
        <v>1801</v>
      </c>
      <c r="D189" s="26" t="s">
        <v>1802</v>
      </c>
    </row>
    <row r="190" s="2" customFormat="1" ht="27" customHeight="1" spans="1:4">
      <c r="A190" s="10">
        <v>83</v>
      </c>
      <c r="B190" s="11" t="s">
        <v>491</v>
      </c>
      <c r="C190" s="12" t="s">
        <v>1803</v>
      </c>
      <c r="D190" s="26" t="s">
        <v>1804</v>
      </c>
    </row>
    <row r="191" s="2" customFormat="1" ht="27" customHeight="1" spans="1:4">
      <c r="A191" s="14"/>
      <c r="B191" s="15"/>
      <c r="C191" s="12" t="s">
        <v>1805</v>
      </c>
      <c r="D191" s="26" t="s">
        <v>1806</v>
      </c>
    </row>
    <row r="192" s="2" customFormat="1" ht="27" customHeight="1" spans="1:4">
      <c r="A192" s="14"/>
      <c r="B192" s="15"/>
      <c r="C192" s="12" t="s">
        <v>1807</v>
      </c>
      <c r="D192" s="26" t="s">
        <v>1808</v>
      </c>
    </row>
    <row r="193" s="2" customFormat="1" ht="27" customHeight="1" spans="1:4">
      <c r="A193" s="18"/>
      <c r="B193" s="19"/>
      <c r="C193" s="12" t="s">
        <v>1809</v>
      </c>
      <c r="D193" s="26" t="s">
        <v>1810</v>
      </c>
    </row>
    <row r="194" s="2" customFormat="1" ht="27" customHeight="1" spans="1:4">
      <c r="A194" s="10">
        <v>84</v>
      </c>
      <c r="B194" s="11" t="s">
        <v>496</v>
      </c>
      <c r="C194" s="12" t="s">
        <v>1811</v>
      </c>
      <c r="D194" s="26" t="s">
        <v>1812</v>
      </c>
    </row>
    <row r="195" s="2" customFormat="1" ht="27" customHeight="1" spans="1:4">
      <c r="A195" s="14"/>
      <c r="B195" s="15"/>
      <c r="C195" s="12" t="s">
        <v>1813</v>
      </c>
      <c r="D195" s="26" t="s">
        <v>1814</v>
      </c>
    </row>
    <row r="196" s="2" customFormat="1" ht="27" customHeight="1" spans="1:4">
      <c r="A196" s="14"/>
      <c r="B196" s="15"/>
      <c r="C196" s="12" t="s">
        <v>1797</v>
      </c>
      <c r="D196" s="26" t="s">
        <v>1798</v>
      </c>
    </row>
    <row r="197" s="2" customFormat="1" ht="27" customHeight="1" spans="1:4">
      <c r="A197" s="18"/>
      <c r="B197" s="19"/>
      <c r="C197" s="12" t="s">
        <v>1816</v>
      </c>
      <c r="D197" s="26" t="s">
        <v>1817</v>
      </c>
    </row>
    <row r="198" s="2" customFormat="1" ht="27" customHeight="1" spans="1:4">
      <c r="A198" s="24">
        <v>85</v>
      </c>
      <c r="B198" s="16" t="s">
        <v>503</v>
      </c>
      <c r="C198" s="148" t="s">
        <v>1818</v>
      </c>
      <c r="D198" s="26" t="s">
        <v>1819</v>
      </c>
    </row>
    <row r="199" s="2" customFormat="1" ht="27" customHeight="1" spans="1:4">
      <c r="A199" s="10">
        <v>86</v>
      </c>
      <c r="B199" s="11" t="s">
        <v>510</v>
      </c>
      <c r="C199" s="12" t="s">
        <v>1820</v>
      </c>
      <c r="D199" s="26" t="s">
        <v>1821</v>
      </c>
    </row>
    <row r="200" s="2" customFormat="1" ht="27" customHeight="1" spans="1:4">
      <c r="A200" s="18"/>
      <c r="B200" s="19"/>
      <c r="C200" s="12" t="s">
        <v>1795</v>
      </c>
      <c r="D200" s="26" t="s">
        <v>1796</v>
      </c>
    </row>
    <row r="201" s="2" customFormat="1" ht="27" customHeight="1" spans="1:4">
      <c r="A201" s="20">
        <v>87</v>
      </c>
      <c r="B201" s="21" t="s">
        <v>515</v>
      </c>
      <c r="C201" s="12" t="s">
        <v>1822</v>
      </c>
      <c r="D201" s="26" t="s">
        <v>1823</v>
      </c>
    </row>
    <row r="202" s="2" customFormat="1" ht="27" customHeight="1" spans="1:4">
      <c r="A202" s="20">
        <v>88</v>
      </c>
      <c r="B202" s="16" t="s">
        <v>520</v>
      </c>
      <c r="C202" s="16"/>
      <c r="D202" s="16"/>
    </row>
    <row r="203" s="2" customFormat="1" ht="27" customHeight="1" spans="1:4">
      <c r="A203" s="20">
        <v>89</v>
      </c>
      <c r="B203" s="16" t="s">
        <v>525</v>
      </c>
      <c r="C203" s="16"/>
      <c r="D203" s="16"/>
    </row>
    <row r="204" s="2" customFormat="1" ht="27" customHeight="1" spans="1:4">
      <c r="A204" s="32">
        <v>90</v>
      </c>
      <c r="B204" s="16" t="s">
        <v>530</v>
      </c>
      <c r="C204" s="16"/>
      <c r="D204" s="16"/>
    </row>
    <row r="205" s="2" customFormat="1" ht="27" customHeight="1" spans="1:4">
      <c r="A205" s="10">
        <v>91</v>
      </c>
      <c r="B205" s="11" t="s">
        <v>537</v>
      </c>
      <c r="C205" s="12" t="s">
        <v>1824</v>
      </c>
      <c r="D205" s="26" t="s">
        <v>1825</v>
      </c>
    </row>
    <row r="206" s="2" customFormat="1" ht="27" customHeight="1" spans="1:4">
      <c r="A206" s="18"/>
      <c r="B206" s="19"/>
      <c r="C206" s="12" t="s">
        <v>1826</v>
      </c>
      <c r="D206" s="26" t="s">
        <v>1827</v>
      </c>
    </row>
    <row r="207" s="2" customFormat="1" ht="27" customHeight="1" spans="1:4">
      <c r="A207" s="32">
        <v>92</v>
      </c>
      <c r="B207" s="16" t="s">
        <v>542</v>
      </c>
      <c r="C207" s="12" t="s">
        <v>1828</v>
      </c>
      <c r="D207" s="26" t="s">
        <v>1829</v>
      </c>
    </row>
    <row r="208" s="2" customFormat="1" ht="27" customHeight="1" spans="1:4">
      <c r="A208" s="32">
        <v>93</v>
      </c>
      <c r="B208" s="16" t="s">
        <v>547</v>
      </c>
      <c r="C208" s="12" t="s">
        <v>1830</v>
      </c>
      <c r="D208" s="26" t="s">
        <v>1831</v>
      </c>
    </row>
    <row r="209" s="2" customFormat="1" ht="27" customHeight="1" spans="1:4">
      <c r="A209" s="24">
        <v>94</v>
      </c>
      <c r="B209" s="25" t="s">
        <v>552</v>
      </c>
      <c r="C209" s="12" t="s">
        <v>1832</v>
      </c>
      <c r="D209" s="26" t="s">
        <v>1833</v>
      </c>
    </row>
    <row r="210" s="2" customFormat="1" ht="27" customHeight="1" spans="1:4">
      <c r="A210" s="27"/>
      <c r="B210" s="28"/>
      <c r="C210" s="12" t="s">
        <v>1834</v>
      </c>
      <c r="D210" s="26" t="s">
        <v>1835</v>
      </c>
    </row>
    <row r="211" s="2" customFormat="1" ht="27" customHeight="1" spans="1:4">
      <c r="A211" s="29"/>
      <c r="B211" s="30"/>
      <c r="C211" s="12" t="s">
        <v>1836</v>
      </c>
      <c r="D211" s="26" t="s">
        <v>1837</v>
      </c>
    </row>
    <row r="212" s="2" customFormat="1" ht="27" customHeight="1" spans="1:4">
      <c r="A212" s="24">
        <v>95</v>
      </c>
      <c r="B212" s="25" t="s">
        <v>557</v>
      </c>
      <c r="C212" s="12" t="s">
        <v>1838</v>
      </c>
      <c r="D212" s="26" t="s">
        <v>1839</v>
      </c>
    </row>
    <row r="213" s="2" customFormat="1" ht="27" customHeight="1" spans="1:4">
      <c r="A213" s="27"/>
      <c r="B213" s="28"/>
      <c r="C213" s="12" t="s">
        <v>1840</v>
      </c>
      <c r="D213" s="26" t="s">
        <v>1841</v>
      </c>
    </row>
    <row r="214" s="2" customFormat="1" ht="27" customHeight="1" spans="1:4">
      <c r="A214" s="29"/>
      <c r="B214" s="30"/>
      <c r="C214" s="12" t="s">
        <v>1842</v>
      </c>
      <c r="D214" s="26" t="s">
        <v>1843</v>
      </c>
    </row>
    <row r="215" s="2" customFormat="1" ht="27" customHeight="1" spans="1:4">
      <c r="A215" s="32">
        <v>96</v>
      </c>
      <c r="B215" s="16" t="s">
        <v>564</v>
      </c>
      <c r="C215" s="12" t="s">
        <v>1844</v>
      </c>
      <c r="D215" s="26" t="s">
        <v>1845</v>
      </c>
    </row>
    <row r="216" s="2" customFormat="1" ht="27" customHeight="1" spans="1:4">
      <c r="A216" s="32">
        <v>97</v>
      </c>
      <c r="B216" s="16" t="s">
        <v>571</v>
      </c>
      <c r="C216" s="12" t="s">
        <v>1846</v>
      </c>
      <c r="D216" s="26" t="s">
        <v>1847</v>
      </c>
    </row>
    <row r="217" s="2" customFormat="1" ht="27" customHeight="1" spans="1:4">
      <c r="A217" s="24">
        <v>98</v>
      </c>
      <c r="B217" s="25" t="s">
        <v>576</v>
      </c>
      <c r="C217" s="12" t="s">
        <v>1848</v>
      </c>
      <c r="D217" s="26" t="s">
        <v>1849</v>
      </c>
    </row>
    <row r="218" s="2" customFormat="1" ht="27" customHeight="1" spans="1:4">
      <c r="A218" s="27"/>
      <c r="B218" s="28"/>
      <c r="C218" s="12" t="s">
        <v>1850</v>
      </c>
      <c r="D218" s="26" t="s">
        <v>1851</v>
      </c>
    </row>
    <row r="219" s="2" customFormat="1" ht="27" customHeight="1" spans="1:4">
      <c r="A219" s="27"/>
      <c r="B219" s="28"/>
      <c r="C219" s="12" t="s">
        <v>1852</v>
      </c>
      <c r="D219" s="26" t="s">
        <v>1853</v>
      </c>
    </row>
    <row r="220" s="2" customFormat="1" ht="27" customHeight="1" spans="1:4">
      <c r="A220" s="27"/>
      <c r="B220" s="28"/>
      <c r="C220" s="12" t="s">
        <v>1854</v>
      </c>
      <c r="D220" s="26" t="s">
        <v>1855</v>
      </c>
    </row>
    <row r="221" s="2" customFormat="1" ht="27" customHeight="1" spans="1:4">
      <c r="A221" s="27"/>
      <c r="B221" s="28"/>
      <c r="C221" s="12" t="s">
        <v>1721</v>
      </c>
      <c r="D221" s="26" t="s">
        <v>1722</v>
      </c>
    </row>
    <row r="222" s="2" customFormat="1" ht="27" customHeight="1" spans="1:4">
      <c r="A222" s="27"/>
      <c r="B222" s="28"/>
      <c r="C222" s="12" t="s">
        <v>1723</v>
      </c>
      <c r="D222" s="26" t="s">
        <v>1724</v>
      </c>
    </row>
    <row r="223" s="2" customFormat="1" ht="27" customHeight="1" spans="1:4">
      <c r="A223" s="27"/>
      <c r="B223" s="28"/>
      <c r="C223" s="12" t="s">
        <v>1725</v>
      </c>
      <c r="D223" s="26" t="s">
        <v>1726</v>
      </c>
    </row>
    <row r="224" s="2" customFormat="1" ht="27" customHeight="1" spans="1:4">
      <c r="A224" s="27"/>
      <c r="B224" s="28"/>
      <c r="C224" s="12" t="s">
        <v>1727</v>
      </c>
      <c r="D224" s="26" t="s">
        <v>1728</v>
      </c>
    </row>
    <row r="225" s="2" customFormat="1" ht="27" customHeight="1" spans="1:4">
      <c r="A225" s="27"/>
      <c r="B225" s="28"/>
      <c r="C225" s="12" t="s">
        <v>1729</v>
      </c>
      <c r="D225" s="26" t="s">
        <v>1730</v>
      </c>
    </row>
    <row r="226" s="2" customFormat="1" ht="27" customHeight="1" spans="1:4">
      <c r="A226" s="27"/>
      <c r="B226" s="28"/>
      <c r="C226" s="12" t="s">
        <v>1856</v>
      </c>
      <c r="D226" s="26" t="s">
        <v>1857</v>
      </c>
    </row>
    <row r="227" s="2" customFormat="1" ht="27" customHeight="1" spans="1:4">
      <c r="A227" s="29"/>
      <c r="B227" s="30"/>
      <c r="C227" s="12" t="s">
        <v>1797</v>
      </c>
      <c r="D227" s="26" t="s">
        <v>1798</v>
      </c>
    </row>
    <row r="228" s="2" customFormat="1" ht="27" customHeight="1" spans="1:4">
      <c r="A228" s="24">
        <v>99</v>
      </c>
      <c r="B228" s="25" t="s">
        <v>585</v>
      </c>
      <c r="C228" s="12" t="s">
        <v>1858</v>
      </c>
      <c r="D228" s="26" t="s">
        <v>1859</v>
      </c>
    </row>
    <row r="229" s="2" customFormat="1" ht="27" customHeight="1" spans="1:4">
      <c r="A229" s="27"/>
      <c r="B229" s="28"/>
      <c r="C229" s="12" t="s">
        <v>1824</v>
      </c>
      <c r="D229" s="26" t="s">
        <v>1825</v>
      </c>
    </row>
    <row r="230" s="2" customFormat="1" ht="27" customHeight="1" spans="1:4">
      <c r="A230" s="29"/>
      <c r="B230" s="30"/>
      <c r="C230" s="12" t="s">
        <v>1775</v>
      </c>
      <c r="D230" s="26" t="s">
        <v>1776</v>
      </c>
    </row>
    <row r="231" s="2" customFormat="1" ht="27" customHeight="1" spans="1:4">
      <c r="A231" s="32">
        <v>100</v>
      </c>
      <c r="B231" s="16" t="s">
        <v>590</v>
      </c>
      <c r="C231" s="12" t="s">
        <v>1860</v>
      </c>
      <c r="D231" s="26" t="s">
        <v>1861</v>
      </c>
    </row>
    <row r="232" s="2" customFormat="1" ht="27" customHeight="1" spans="1:4">
      <c r="A232" s="32">
        <v>101</v>
      </c>
      <c r="B232" s="16" t="s">
        <v>599</v>
      </c>
      <c r="C232" s="12" t="s">
        <v>1862</v>
      </c>
      <c r="D232" s="26" t="s">
        <v>1863</v>
      </c>
    </row>
    <row r="233" s="2" customFormat="1" ht="27" customHeight="1" spans="1:4">
      <c r="A233" s="32">
        <v>102</v>
      </c>
      <c r="B233" s="16" t="s">
        <v>604</v>
      </c>
      <c r="C233" s="12" t="s">
        <v>1864</v>
      </c>
      <c r="D233" s="26" t="s">
        <v>1865</v>
      </c>
    </row>
    <row r="234" s="2" customFormat="1" ht="27" customHeight="1" spans="1:4">
      <c r="A234" s="32">
        <v>103</v>
      </c>
      <c r="B234" s="16" t="s">
        <v>609</v>
      </c>
      <c r="C234" s="12" t="s">
        <v>1866</v>
      </c>
      <c r="D234" s="26" t="s">
        <v>1867</v>
      </c>
    </row>
    <row r="235" s="2" customFormat="1" ht="27" customHeight="1" spans="1:4">
      <c r="A235" s="24">
        <v>104</v>
      </c>
      <c r="B235" s="25" t="s">
        <v>614</v>
      </c>
      <c r="C235" s="12" t="s">
        <v>1868</v>
      </c>
      <c r="D235" s="26" t="s">
        <v>1869</v>
      </c>
    </row>
    <row r="236" s="2" customFormat="1" ht="27" customHeight="1" spans="1:4">
      <c r="A236" s="29"/>
      <c r="B236" s="30"/>
      <c r="C236" s="12" t="s">
        <v>1870</v>
      </c>
      <c r="D236" s="26" t="s">
        <v>1871</v>
      </c>
    </row>
    <row r="237" s="2" customFormat="1" ht="27" customHeight="1" spans="1:4">
      <c r="A237" s="24">
        <v>105</v>
      </c>
      <c r="B237" s="25" t="s">
        <v>619</v>
      </c>
      <c r="C237" s="12" t="s">
        <v>1872</v>
      </c>
      <c r="D237" s="26" t="s">
        <v>1873</v>
      </c>
    </row>
    <row r="238" s="2" customFormat="1" ht="27" customHeight="1" spans="1:4">
      <c r="A238" s="29"/>
      <c r="B238" s="30"/>
      <c r="C238" s="12" t="s">
        <v>1874</v>
      </c>
      <c r="D238" s="26" t="s">
        <v>1875</v>
      </c>
    </row>
    <row r="239" s="2" customFormat="1" ht="27" customHeight="1" spans="1:4">
      <c r="A239" s="32">
        <v>106</v>
      </c>
      <c r="B239" s="16" t="s">
        <v>626</v>
      </c>
      <c r="C239" s="12" t="s">
        <v>1876</v>
      </c>
      <c r="D239" s="26" t="s">
        <v>1877</v>
      </c>
    </row>
    <row r="240" s="2" customFormat="1" ht="27" customHeight="1" spans="1:4">
      <c r="A240" s="24">
        <v>107</v>
      </c>
      <c r="B240" s="25" t="s">
        <v>631</v>
      </c>
      <c r="C240" s="12" t="s">
        <v>1878</v>
      </c>
      <c r="D240" s="26" t="s">
        <v>1879</v>
      </c>
    </row>
    <row r="241" s="2" customFormat="1" ht="27" customHeight="1" spans="1:4">
      <c r="A241" s="27"/>
      <c r="B241" s="28"/>
      <c r="C241" s="12" t="s">
        <v>1880</v>
      </c>
      <c r="D241" s="26" t="s">
        <v>1881</v>
      </c>
    </row>
    <row r="242" s="2" customFormat="1" ht="27" customHeight="1" spans="1:4">
      <c r="A242" s="29"/>
      <c r="B242" s="30"/>
      <c r="C242" s="12" t="s">
        <v>1712</v>
      </c>
      <c r="D242" s="26" t="s">
        <v>1713</v>
      </c>
    </row>
    <row r="243" s="2" customFormat="1" ht="27" customHeight="1" spans="1:4">
      <c r="A243" s="32">
        <v>108</v>
      </c>
      <c r="B243" s="16" t="s">
        <v>638</v>
      </c>
      <c r="C243" s="12" t="s">
        <v>1882</v>
      </c>
      <c r="D243" s="26" t="s">
        <v>1883</v>
      </c>
    </row>
    <row r="244" s="2" customFormat="1" ht="27" customHeight="1" spans="1:4">
      <c r="A244" s="24">
        <v>109</v>
      </c>
      <c r="B244" s="25" t="s">
        <v>643</v>
      </c>
      <c r="C244" s="12" t="s">
        <v>1884</v>
      </c>
      <c r="D244" s="26" t="s">
        <v>1885</v>
      </c>
    </row>
    <row r="245" s="2" customFormat="1" ht="27" customHeight="1" spans="1:4">
      <c r="A245" s="29"/>
      <c r="B245" s="30"/>
      <c r="C245" s="12" t="s">
        <v>1886</v>
      </c>
      <c r="D245" s="26" t="s">
        <v>1887</v>
      </c>
    </row>
    <row r="246" s="2" customFormat="1" ht="27" customHeight="1" spans="1:4">
      <c r="A246" s="24">
        <v>110</v>
      </c>
      <c r="B246" s="25" t="s">
        <v>650</v>
      </c>
      <c r="C246" s="12" t="s">
        <v>1888</v>
      </c>
      <c r="D246" s="26" t="s">
        <v>1889</v>
      </c>
    </row>
    <row r="247" s="2" customFormat="1" ht="27" customHeight="1" spans="1:4">
      <c r="A247" s="29"/>
      <c r="B247" s="30"/>
      <c r="C247" s="12" t="s">
        <v>1856</v>
      </c>
      <c r="D247" s="26" t="s">
        <v>1857</v>
      </c>
    </row>
    <row r="248" s="2" customFormat="1" ht="27" customHeight="1" spans="1:4">
      <c r="A248" s="32">
        <v>111</v>
      </c>
      <c r="B248" s="16" t="s">
        <v>659</v>
      </c>
      <c r="C248" s="16"/>
      <c r="D248" s="16"/>
    </row>
    <row r="249" s="2" customFormat="1" ht="27" customHeight="1" spans="1:4">
      <c r="A249" s="24">
        <v>112</v>
      </c>
      <c r="B249" s="25" t="s">
        <v>664</v>
      </c>
      <c r="C249" s="12" t="s">
        <v>1890</v>
      </c>
      <c r="D249" s="26" t="s">
        <v>1891</v>
      </c>
    </row>
    <row r="250" s="2" customFormat="1" ht="27" customHeight="1" spans="1:4">
      <c r="A250" s="29"/>
      <c r="B250" s="30"/>
      <c r="C250" s="12" t="s">
        <v>1797</v>
      </c>
      <c r="D250" s="26" t="s">
        <v>1798</v>
      </c>
    </row>
    <row r="251" s="2" customFormat="1" ht="27" customHeight="1" spans="1:4">
      <c r="A251" s="32">
        <v>113</v>
      </c>
      <c r="B251" s="16" t="s">
        <v>669</v>
      </c>
      <c r="C251" s="12" t="s">
        <v>1892</v>
      </c>
      <c r="D251" s="26" t="s">
        <v>1893</v>
      </c>
    </row>
    <row r="252" s="2" customFormat="1" ht="27" customHeight="1" spans="1:4">
      <c r="A252" s="32">
        <v>114</v>
      </c>
      <c r="B252" s="16" t="s">
        <v>674</v>
      </c>
      <c r="C252" s="12" t="s">
        <v>1894</v>
      </c>
      <c r="D252" s="26" t="s">
        <v>1895</v>
      </c>
    </row>
    <row r="253" s="2" customFormat="1" ht="27" customHeight="1" spans="1:4">
      <c r="A253" s="24">
        <v>115</v>
      </c>
      <c r="B253" s="25" t="s">
        <v>679</v>
      </c>
      <c r="C253" s="12" t="s">
        <v>1896</v>
      </c>
      <c r="D253" s="26" t="s">
        <v>1897</v>
      </c>
    </row>
    <row r="254" s="2" customFormat="1" ht="27" customHeight="1" spans="1:4">
      <c r="A254" s="27"/>
      <c r="B254" s="28"/>
      <c r="C254" s="12" t="s">
        <v>1826</v>
      </c>
      <c r="D254" s="26" t="s">
        <v>1827</v>
      </c>
    </row>
    <row r="255" s="2" customFormat="1" ht="27" customHeight="1" spans="1:4">
      <c r="A255" s="27"/>
      <c r="B255" s="28"/>
      <c r="C255" s="12" t="s">
        <v>1898</v>
      </c>
      <c r="D255" s="26" t="s">
        <v>1899</v>
      </c>
    </row>
    <row r="256" s="2" customFormat="1" ht="27" customHeight="1" spans="1:4">
      <c r="A256" s="27"/>
      <c r="B256" s="28"/>
      <c r="C256" s="12" t="s">
        <v>1813</v>
      </c>
      <c r="D256" s="26" t="s">
        <v>1814</v>
      </c>
    </row>
    <row r="257" s="2" customFormat="1" ht="27" customHeight="1" spans="1:4">
      <c r="A257" s="27"/>
      <c r="B257" s="28"/>
      <c r="C257" s="12" t="s">
        <v>1900</v>
      </c>
      <c r="D257" s="26" t="s">
        <v>1901</v>
      </c>
    </row>
    <row r="258" s="2" customFormat="1" ht="27" customHeight="1" spans="1:4">
      <c r="A258" s="29"/>
      <c r="B258" s="30"/>
      <c r="C258" s="12" t="s">
        <v>1836</v>
      </c>
      <c r="D258" s="26" t="s">
        <v>1837</v>
      </c>
    </row>
    <row r="259" s="2" customFormat="1" ht="27" customHeight="1" spans="1:4">
      <c r="A259" s="32">
        <v>116</v>
      </c>
      <c r="B259" s="16" t="s">
        <v>684</v>
      </c>
      <c r="C259" s="12" t="s">
        <v>1902</v>
      </c>
      <c r="D259" s="26" t="s">
        <v>1903</v>
      </c>
    </row>
    <row r="260" s="2" customFormat="1" ht="27" customHeight="1" spans="1:4">
      <c r="A260" s="32">
        <v>117</v>
      </c>
      <c r="B260" s="16" t="s">
        <v>689</v>
      </c>
      <c r="C260" s="12" t="s">
        <v>1900</v>
      </c>
      <c r="D260" s="26" t="s">
        <v>1901</v>
      </c>
    </row>
    <row r="261" s="2" customFormat="1" ht="27" customHeight="1" spans="1:4">
      <c r="A261" s="32">
        <v>118</v>
      </c>
      <c r="B261" s="16" t="s">
        <v>694</v>
      </c>
      <c r="C261" s="12" t="s">
        <v>1904</v>
      </c>
      <c r="D261" s="26" t="s">
        <v>1905</v>
      </c>
    </row>
    <row r="262" s="2" customFormat="1" ht="27" customHeight="1" spans="1:4">
      <c r="A262" s="32">
        <v>119</v>
      </c>
      <c r="B262" s="16" t="s">
        <v>699</v>
      </c>
      <c r="C262" s="12" t="s">
        <v>1906</v>
      </c>
      <c r="D262" s="26" t="s">
        <v>1907</v>
      </c>
    </row>
    <row r="263" s="2" customFormat="1" ht="27" customHeight="1" spans="1:4">
      <c r="A263" s="32">
        <v>120</v>
      </c>
      <c r="B263" s="16" t="s">
        <v>704</v>
      </c>
      <c r="C263" s="12" t="s">
        <v>1908</v>
      </c>
      <c r="D263" s="26" t="s">
        <v>1909</v>
      </c>
    </row>
    <row r="264" s="2" customFormat="1" ht="27" customHeight="1" spans="1:4">
      <c r="A264" s="24">
        <v>121</v>
      </c>
      <c r="B264" s="16" t="s">
        <v>710</v>
      </c>
      <c r="C264" s="16"/>
      <c r="D264" s="16"/>
    </row>
    <row r="265" s="2" customFormat="1" ht="27" customHeight="1" spans="1:4">
      <c r="A265" s="24">
        <v>122</v>
      </c>
      <c r="B265" s="25" t="s">
        <v>715</v>
      </c>
      <c r="C265" s="12" t="s">
        <v>1910</v>
      </c>
      <c r="D265" s="26" t="s">
        <v>1911</v>
      </c>
    </row>
    <row r="266" s="2" customFormat="1" ht="27" customHeight="1" spans="1:4">
      <c r="A266" s="27"/>
      <c r="B266" s="28"/>
      <c r="C266" s="12" t="s">
        <v>1913</v>
      </c>
      <c r="D266" s="26" t="s">
        <v>1914</v>
      </c>
    </row>
    <row r="267" s="2" customFormat="1" ht="27" customHeight="1" spans="1:4">
      <c r="A267" s="29"/>
      <c r="B267" s="30"/>
      <c r="C267" s="12" t="s">
        <v>1915</v>
      </c>
      <c r="D267" s="26" t="s">
        <v>1916</v>
      </c>
    </row>
    <row r="268" s="2" customFormat="1" ht="27" customHeight="1" spans="1:4">
      <c r="A268" s="32">
        <v>123</v>
      </c>
      <c r="B268" s="16" t="s">
        <v>724</v>
      </c>
      <c r="C268" s="16"/>
      <c r="D268" s="16"/>
    </row>
    <row r="269" s="2" customFormat="1" ht="27" customHeight="1" spans="1:4">
      <c r="A269" s="24">
        <v>124</v>
      </c>
      <c r="B269" s="25" t="s">
        <v>729</v>
      </c>
      <c r="C269" s="12" t="s">
        <v>1917</v>
      </c>
      <c r="D269" s="26" t="s">
        <v>1918</v>
      </c>
    </row>
    <row r="270" s="2" customFormat="1" ht="27" customHeight="1" spans="1:4">
      <c r="A270" s="29"/>
      <c r="B270" s="30"/>
      <c r="C270" s="12" t="s">
        <v>1919</v>
      </c>
      <c r="D270" s="26" t="s">
        <v>1920</v>
      </c>
    </row>
    <row r="271" s="2" customFormat="1" ht="27" customHeight="1" spans="1:4">
      <c r="A271" s="32">
        <v>125</v>
      </c>
      <c r="B271" s="16" t="s">
        <v>737</v>
      </c>
      <c r="C271" s="12" t="s">
        <v>1921</v>
      </c>
      <c r="D271" s="26" t="s">
        <v>1922</v>
      </c>
    </row>
    <row r="272" s="2" customFormat="1" ht="27" customHeight="1" spans="1:4">
      <c r="A272" s="32">
        <v>126</v>
      </c>
      <c r="B272" s="16" t="s">
        <v>744</v>
      </c>
      <c r="C272" s="12" t="s">
        <v>1923</v>
      </c>
      <c r="D272" s="26" t="s">
        <v>1924</v>
      </c>
    </row>
    <row r="273" s="2" customFormat="1" ht="27" customHeight="1" spans="1:4">
      <c r="A273" s="32">
        <v>127</v>
      </c>
      <c r="B273" s="16" t="s">
        <v>749</v>
      </c>
      <c r="C273" s="16"/>
      <c r="D273" s="16"/>
    </row>
    <row r="274" s="2" customFormat="1" ht="27" customHeight="1" spans="1:4">
      <c r="A274" s="32">
        <v>128</v>
      </c>
      <c r="B274" s="16" t="s">
        <v>754</v>
      </c>
      <c r="C274" s="12" t="s">
        <v>1925</v>
      </c>
      <c r="D274" s="26" t="s">
        <v>1926</v>
      </c>
    </row>
    <row r="275" s="2" customFormat="1" ht="27" customHeight="1" spans="1:4">
      <c r="A275" s="32">
        <v>129</v>
      </c>
      <c r="B275" s="16" t="s">
        <v>760</v>
      </c>
      <c r="C275" s="12" t="s">
        <v>1927</v>
      </c>
      <c r="D275" s="26" t="s">
        <v>1928</v>
      </c>
    </row>
  </sheetData>
  <mergeCells count="109">
    <mergeCell ref="A1:D1"/>
    <mergeCell ref="A3:A7"/>
    <mergeCell ref="A8:A19"/>
    <mergeCell ref="A20:A21"/>
    <mergeCell ref="A22:A25"/>
    <mergeCell ref="A26:A29"/>
    <mergeCell ref="A36:A37"/>
    <mergeCell ref="A38:A40"/>
    <mergeCell ref="A41:A45"/>
    <mergeCell ref="A47:A51"/>
    <mergeCell ref="A52:A58"/>
    <mergeCell ref="A60:A62"/>
    <mergeCell ref="A63:A67"/>
    <mergeCell ref="A68:A70"/>
    <mergeCell ref="A71:A72"/>
    <mergeCell ref="A74:A78"/>
    <mergeCell ref="A79:A80"/>
    <mergeCell ref="A82:A87"/>
    <mergeCell ref="A88:A89"/>
    <mergeCell ref="A90:A91"/>
    <mergeCell ref="A96:A98"/>
    <mergeCell ref="A99:A101"/>
    <mergeCell ref="A104:A107"/>
    <mergeCell ref="A111:A113"/>
    <mergeCell ref="A114:A116"/>
    <mergeCell ref="A122:A125"/>
    <mergeCell ref="A133:A134"/>
    <mergeCell ref="A138:A139"/>
    <mergeCell ref="A141:A142"/>
    <mergeCell ref="A145:A158"/>
    <mergeCell ref="A162:A163"/>
    <mergeCell ref="A164:A165"/>
    <mergeCell ref="A166:A167"/>
    <mergeCell ref="A169:A171"/>
    <mergeCell ref="A172:A173"/>
    <mergeCell ref="A178:A181"/>
    <mergeCell ref="A182:A187"/>
    <mergeCell ref="A188:A189"/>
    <mergeCell ref="A190:A193"/>
    <mergeCell ref="A194:A197"/>
    <mergeCell ref="A199:A200"/>
    <mergeCell ref="A205:A206"/>
    <mergeCell ref="A209:A211"/>
    <mergeCell ref="A212:A214"/>
    <mergeCell ref="A217:A227"/>
    <mergeCell ref="A228:A230"/>
    <mergeCell ref="A235:A236"/>
    <mergeCell ref="A237:A238"/>
    <mergeCell ref="A240:A242"/>
    <mergeCell ref="A244:A245"/>
    <mergeCell ref="A246:A247"/>
    <mergeCell ref="A249:A250"/>
    <mergeCell ref="A253:A258"/>
    <mergeCell ref="A265:A267"/>
    <mergeCell ref="A269:A270"/>
    <mergeCell ref="B3:B7"/>
    <mergeCell ref="B8:B19"/>
    <mergeCell ref="B20:B21"/>
    <mergeCell ref="B22:B25"/>
    <mergeCell ref="B26:B29"/>
    <mergeCell ref="B36:B37"/>
    <mergeCell ref="B38:B40"/>
    <mergeCell ref="B41:B45"/>
    <mergeCell ref="B47:B51"/>
    <mergeCell ref="B52:B58"/>
    <mergeCell ref="B60:B62"/>
    <mergeCell ref="B63:B67"/>
    <mergeCell ref="B68:B70"/>
    <mergeCell ref="B71:B72"/>
    <mergeCell ref="B74:B78"/>
    <mergeCell ref="B79:B80"/>
    <mergeCell ref="B82:B87"/>
    <mergeCell ref="B88:B89"/>
    <mergeCell ref="B90:B91"/>
    <mergeCell ref="B96:B98"/>
    <mergeCell ref="B99:B101"/>
    <mergeCell ref="B104:B107"/>
    <mergeCell ref="B111:B113"/>
    <mergeCell ref="B114:B116"/>
    <mergeCell ref="B122:B125"/>
    <mergeCell ref="B133:B134"/>
    <mergeCell ref="B138:B139"/>
    <mergeCell ref="B141:B142"/>
    <mergeCell ref="B145:B158"/>
    <mergeCell ref="B162:B163"/>
    <mergeCell ref="B164:B165"/>
    <mergeCell ref="B166:B167"/>
    <mergeCell ref="B169:B171"/>
    <mergeCell ref="B172:B173"/>
    <mergeCell ref="B178:B181"/>
    <mergeCell ref="B182:B187"/>
    <mergeCell ref="B188:B189"/>
    <mergeCell ref="B190:B193"/>
    <mergeCell ref="B194:B197"/>
    <mergeCell ref="B199:B200"/>
    <mergeCell ref="B205:B206"/>
    <mergeCell ref="B209:B211"/>
    <mergeCell ref="B212:B214"/>
    <mergeCell ref="B217:B227"/>
    <mergeCell ref="B228:B230"/>
    <mergeCell ref="B235:B236"/>
    <mergeCell ref="B237:B238"/>
    <mergeCell ref="B240:B242"/>
    <mergeCell ref="B244:B245"/>
    <mergeCell ref="B246:B247"/>
    <mergeCell ref="B249:B250"/>
    <mergeCell ref="B253:B258"/>
    <mergeCell ref="B265:B267"/>
    <mergeCell ref="B269:B27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3</vt:i4>
      </vt:variant>
    </vt:vector>
  </HeadingPairs>
  <TitlesOfParts>
    <vt:vector size="3" baseType="lpstr">
      <vt:lpstr>附件1辽宁省心血管等6类医疗服务项目价格信息表</vt:lpstr>
      <vt:lpstr>附件2辽宁省拟废止医疗服务价格项目信息表</vt:lpstr>
      <vt:lpstr>新旧项目映射关系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圣和</dc:creator>
  <cp:lastModifiedBy>彭庭波</cp:lastModifiedBy>
  <dcterms:created xsi:type="dcterms:W3CDTF">2023-06-13T03:00:00Z</dcterms:created>
  <dcterms:modified xsi:type="dcterms:W3CDTF">2026-03-30T07:18:05Z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564387BDD78742D58A8CDB14D9593D49_13</vt:lpwstr>
  </property>
  <property fmtid="{D5CDD505-2E9C-101B-9397-08002B2CF9AE}" pid="3" name="KSOProductBuildVer">
    <vt:lpwstr>2052-12.1.0.25225</vt:lpwstr>
  </property>
  <property fmtid="{D5CDD505-2E9C-101B-9397-08002B2CF9AE}" pid="4" name="KSOReadingLayout">
    <vt:bool>true</vt:bool>
  </property>
  <property fmtid="{D5CDD505-2E9C-101B-9397-08002B2CF9AE}" pid="5" name="CalculationRule">
    <vt:i4>0</vt:i4>
  </property>
</Properties>
</file>